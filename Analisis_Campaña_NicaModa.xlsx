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li\Downloads\"/>
    </mc:Choice>
  </mc:AlternateContent>
  <xr:revisionPtr revIDLastSave="0" documentId="8_{CC0417EF-E4C9-4F60-BE9C-FE3C64FB20EA}" xr6:coauthVersionLast="47" xr6:coauthVersionMax="47" xr10:uidLastSave="{00000000-0000-0000-0000-000000000000}"/>
  <bookViews>
    <workbookView xWindow="-108" yWindow="-108" windowWidth="23256" windowHeight="12456" xr2:uid="{7B5D0248-97D1-49AE-A2FB-D7A03486B83C}"/>
  </bookViews>
  <sheets>
    <sheet name="Campaña" sheetId="1" r:id="rId1"/>
    <sheet name="Resu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18" i="1"/>
  <c r="B17" i="1"/>
  <c r="D16" i="1"/>
  <c r="D24" i="1"/>
  <c r="D23" i="1"/>
  <c r="D22" i="1"/>
  <c r="D21" i="1"/>
  <c r="D20" i="1"/>
  <c r="D19" i="1"/>
  <c r="D18" i="1"/>
  <c r="D17" i="1"/>
  <c r="C24" i="1"/>
  <c r="C23" i="1"/>
  <c r="C22" i="1"/>
  <c r="C21" i="1"/>
  <c r="C20" i="1"/>
  <c r="C19" i="1"/>
  <c r="C18" i="1"/>
  <c r="C17" i="1"/>
  <c r="C16" i="1"/>
  <c r="B24" i="1"/>
  <c r="B23" i="1"/>
  <c r="B22" i="1"/>
  <c r="B21" i="1"/>
  <c r="B20" i="1"/>
  <c r="B19" i="1"/>
  <c r="B16" i="1"/>
  <c r="H5" i="1"/>
  <c r="H6" i="1"/>
  <c r="H7" i="1"/>
  <c r="H8" i="1"/>
  <c r="H9" i="1"/>
  <c r="H10" i="1"/>
  <c r="I13" i="1"/>
  <c r="I12" i="1"/>
  <c r="I11" i="1"/>
  <c r="J13" i="1"/>
  <c r="J12" i="1"/>
  <c r="J11" i="1"/>
  <c r="J5" i="1"/>
  <c r="J6" i="1"/>
  <c r="J7" i="1"/>
  <c r="J8" i="1"/>
  <c r="J9" i="1"/>
  <c r="I6" i="1"/>
  <c r="I7" i="1"/>
  <c r="I8" i="1"/>
  <c r="I9" i="1"/>
  <c r="E10" i="1"/>
  <c r="E11" i="1"/>
  <c r="G10" i="1"/>
  <c r="F10" i="1"/>
  <c r="J10" i="1" s="1"/>
  <c r="G11" i="1"/>
  <c r="C10" i="1"/>
  <c r="D10" i="1"/>
  <c r="C11" i="1"/>
  <c r="D11" i="1"/>
  <c r="F11" i="1"/>
  <c r="C12" i="1"/>
  <c r="D12" i="1"/>
  <c r="E12" i="1"/>
  <c r="F12" i="1"/>
  <c r="G12" i="1"/>
  <c r="C13" i="1"/>
  <c r="D13" i="1"/>
  <c r="E13" i="1"/>
  <c r="F13" i="1"/>
  <c r="G13" i="1"/>
  <c r="B13" i="1"/>
  <c r="B12" i="1"/>
  <c r="B11" i="1"/>
  <c r="B10" i="1"/>
  <c r="G5" i="1"/>
  <c r="G6" i="1"/>
  <c r="G7" i="1"/>
  <c r="G8" i="1"/>
  <c r="G9" i="1"/>
  <c r="I5" i="1"/>
  <c r="H12" i="1" l="1"/>
  <c r="H11" i="1"/>
  <c r="I10" i="1"/>
  <c r="H13" i="1"/>
</calcChain>
</file>

<file path=xl/sharedStrings.xml><?xml version="1.0" encoding="utf-8"?>
<sst xmlns="http://schemas.openxmlformats.org/spreadsheetml/2006/main" count="73" uniqueCount="55">
  <si>
    <t>NicaModa - Análisis de Campaña Digital</t>
  </si>
  <si>
    <t>Desempeño de Canales e Indicadores Clave</t>
  </si>
  <si>
    <t>Canal</t>
  </si>
  <si>
    <t>Inversión C$</t>
  </si>
  <si>
    <t>Clics</t>
  </si>
  <si>
    <t>Ventas</t>
  </si>
  <si>
    <t>Ingresos C$</t>
  </si>
  <si>
    <t>Facebook</t>
  </si>
  <si>
    <t>Instagram</t>
  </si>
  <si>
    <t>TikTok</t>
  </si>
  <si>
    <t>Google Ads</t>
  </si>
  <si>
    <t>Correo electrónico</t>
  </si>
  <si>
    <t>Alcance</t>
  </si>
  <si>
    <t>CTR (%)</t>
  </si>
  <si>
    <t>Tasa de Conversión (%)</t>
  </si>
  <si>
    <t>Costo por Venta C$</t>
  </si>
  <si>
    <t>ROI (%)</t>
  </si>
  <si>
    <t>Total</t>
  </si>
  <si>
    <t>Promedio</t>
  </si>
  <si>
    <t>Máximo</t>
  </si>
  <si>
    <t>Mínimo</t>
  </si>
  <si>
    <t>ESTADÍSTICAS SOLICITADAS</t>
  </si>
  <si>
    <t>Concepto</t>
  </si>
  <si>
    <t>Suma / Promedio</t>
  </si>
  <si>
    <t>Inversión</t>
  </si>
  <si>
    <t>Ingresos</t>
  </si>
  <si>
    <t>Costo por venta</t>
  </si>
  <si>
    <r>
      <rPr>
        <sz val="11"/>
        <color theme="1"/>
        <rFont val="Abadi"/>
        <family val="2"/>
      </rPr>
      <t>Tasa de conversión (%</t>
    </r>
    <r>
      <rPr>
        <sz val="11"/>
        <color theme="1"/>
        <rFont val="Aptos Narrow"/>
        <family val="2"/>
        <scheme val="minor"/>
      </rPr>
      <t>)</t>
    </r>
  </si>
  <si>
    <t>}</t>
  </si>
  <si>
    <t>RESUMEN — CAMPAÑA DE MARKETING NICAMODA</t>
  </si>
  <si>
    <t>Principales resultados</t>
  </si>
  <si>
    <t>Inversión total</t>
  </si>
  <si>
    <t>Alcance total</t>
  </si>
  <si>
    <t>Clics totales</t>
  </si>
  <si>
    <t>Ventas totales</t>
  </si>
  <si>
    <t>Ingresos totales</t>
  </si>
  <si>
    <t>CTR promedio</t>
  </si>
  <si>
    <t>Conversión promedio</t>
  </si>
  <si>
    <t>Costo por venta promedio</t>
  </si>
  <si>
    <t>ROI promedio</t>
  </si>
  <si>
    <t>50.90 C$</t>
  </si>
  <si>
    <t>Recomendación</t>
  </si>
  <si>
    <r>
      <rPr>
        <b/>
        <sz val="11"/>
        <color theme="1"/>
        <rFont val="Aptos Narrow"/>
        <family val="2"/>
        <scheme val="minor"/>
      </rPr>
      <t>Canal recomendado</t>
    </r>
    <r>
      <rPr>
        <sz val="11"/>
        <color theme="1"/>
        <rFont val="Aptos Narrow"/>
        <family val="2"/>
        <scheme val="minor"/>
      </rPr>
      <t>:</t>
    </r>
  </si>
  <si>
    <t>Motivo:</t>
  </si>
  <si>
    <t>Generó la mayor cantidad de ventas (378) y el ROI más alto (530), además de un costo por venta de C$47.62.</t>
  </si>
  <si>
    <t>Canal a revisar/reducir:</t>
  </si>
  <si>
    <t>Presentó el mayor costo por venta (C$70.59) y el ROI más bajo (325), por lo que conviene revisar su eficiencia antes de aumentar su presupuesto.</t>
  </si>
  <si>
    <t>CTR</t>
  </si>
  <si>
    <t>Conversión</t>
  </si>
  <si>
    <t>ROI</t>
  </si>
  <si>
    <t>70.59 C$</t>
  </si>
  <si>
    <t>54.55 C$</t>
  </si>
  <si>
    <t>59.52 C$</t>
  </si>
  <si>
    <t>47.62 C$</t>
  </si>
  <si>
    <t>22.22 C$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</si>
</sst>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C$&quot;#,##0"/>
    <numFmt numFmtId="165" formatCode="&quot;C$&quot;#,##0.00"/>
    <numFmt numFmtId="171" formatCode="_-* #,##0_-;\-* #,##0_-;_-* &quot;-&quot;??_-;_-@_-"/>
    <numFmt numFmtId="173" formatCode="#,##0_ ;\-#,##0\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171" fontId="0" fillId="0" borderId="0" xfId="2" applyNumberFormat="1" applyFont="1"/>
    <xf numFmtId="173" fontId="0" fillId="0" borderId="0" xfId="2" applyNumberFormat="1" applyFont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/>
    <xf numFmtId="164" fontId="0" fillId="0" borderId="1" xfId="1" applyNumberFormat="1" applyFont="1" applyBorder="1"/>
    <xf numFmtId="165" fontId="0" fillId="0" borderId="1" xfId="0" applyNumberFormat="1" applyBorder="1"/>
    <xf numFmtId="0" fontId="0" fillId="2" borderId="1" xfId="0" applyFill="1" applyBorder="1"/>
    <xf numFmtId="0" fontId="6" fillId="0" borderId="0" xfId="0" applyFont="1"/>
  </cellXfs>
  <cellStyles count="3">
    <cellStyle name="Millares" xfId="2" builtinId="3"/>
    <cellStyle name="Normal" xfId="0" builtinId="0"/>
    <cellStyle name="Porcentaj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Ventas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5.4463206149905172E-2"/>
          <c:y val="2.7374474540752466E-2"/>
          <c:w val="0.89030796150481195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Campaña!$E$4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Campaña!$A$5:$A$9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TikTok</c:v>
                </c:pt>
                <c:pt idx="3">
                  <c:v>Google Ads</c:v>
                </c:pt>
                <c:pt idx="4">
                  <c:v>Correo electrónico</c:v>
                </c:pt>
              </c:strCache>
            </c:strRef>
          </c:cat>
          <c:val>
            <c:numRef>
              <c:f>Campaña!$E$5:$E$9</c:f>
              <c:numCache>
                <c:formatCode>General</c:formatCode>
                <c:ptCount val="5"/>
                <c:pt idx="0">
                  <c:v>170</c:v>
                </c:pt>
                <c:pt idx="1">
                  <c:v>275</c:v>
                </c:pt>
                <c:pt idx="2">
                  <c:v>168</c:v>
                </c:pt>
                <c:pt idx="3">
                  <c:v>378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7-4A8C-9F12-738B9182F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261392"/>
        <c:axId val="2076748560"/>
      </c:barChart>
      <c:catAx>
        <c:axId val="20482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76748560"/>
        <c:crosses val="autoZero"/>
        <c:auto val="1"/>
        <c:lblAlgn val="ctr"/>
        <c:lblOffset val="100"/>
        <c:noMultiLvlLbl val="0"/>
      </c:catAx>
      <c:valAx>
        <c:axId val="20767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4826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 sz="1400" b="1" i="0" u="none" strike="noStrike" baseline="0"/>
              <a:t>ROI por cana</a:t>
            </a:r>
            <a:r>
              <a:rPr lang="es-NI" sz="1400" b="0" i="0" u="none" strike="noStrike" baseline="0"/>
              <a:t>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0.21337840948350414"/>
          <c:y val="0.18032541954637904"/>
          <c:w val="0.70717475940507435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Campaña!$J$4</c:f>
              <c:strCache>
                <c:ptCount val="1"/>
                <c:pt idx="0">
                  <c:v>ROI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Campaña!$A$5:$A$9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TikTok</c:v>
                </c:pt>
                <c:pt idx="3">
                  <c:v>Google Ads</c:v>
                </c:pt>
                <c:pt idx="4">
                  <c:v>Correo electrónico</c:v>
                </c:pt>
              </c:strCache>
            </c:strRef>
          </c:cat>
          <c:val>
            <c:numRef>
              <c:f>Campaña!$J$5:$J$9</c:f>
              <c:numCache>
                <c:formatCode>0%</c:formatCode>
                <c:ptCount val="5"/>
                <c:pt idx="0">
                  <c:v>3.25</c:v>
                </c:pt>
                <c:pt idx="1">
                  <c:v>4.5</c:v>
                </c:pt>
                <c:pt idx="2">
                  <c:v>4.04</c:v>
                </c:pt>
                <c:pt idx="3">
                  <c:v>5.3</c:v>
                </c:pt>
                <c:pt idx="4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5-4623-B9E9-3247415F9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02624"/>
        <c:axId val="2076573360"/>
      </c:barChart>
      <c:catAx>
        <c:axId val="18800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076573360"/>
        <c:crosses val="autoZero"/>
        <c:auto val="1"/>
        <c:lblAlgn val="ctr"/>
        <c:lblOffset val="100"/>
        <c:noMultiLvlLbl val="0"/>
      </c:catAx>
      <c:valAx>
        <c:axId val="20765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88002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139402</xdr:colOff>
      <xdr:row>22</xdr:row>
      <xdr:rowOff>65265</xdr:rowOff>
    </xdr:from>
    <xdr:to>
      <xdr:col>5</xdr:col>
      <xdr:colOff>484726</xdr:colOff>
      <xdr:row>37</xdr:row>
      <xdr:rowOff>65265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256D3DDB-FBAB-A44E-D80C-A10AEE4A2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461098</xdr:colOff>
      <xdr:row>21</xdr:row>
      <xdr:rowOff>177832</xdr:rowOff>
    </xdr:from>
    <xdr:to>
      <xdr:col>12</xdr:col>
      <xdr:colOff>295102</xdr:colOff>
      <xdr:row>37</xdr:row>
      <xdr:rowOff>173181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7EDE70AF-3F4E-3159-E6A3-07431CC5A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C5D8-CBA8-4D2E-AEC0-797CC690DE00}">
  <dimension ref="A1:J24"/>
  <sheetViews>
    <sheetView tabSelected="1" zoomScale="102" workbookViewId="0">
      <selection activeCell="M25" sqref="M25"/>
    </sheetView>
  </sheetViews>
  <sheetFormatPr baseColWidth="10" defaultRowHeight="14.4"/>
  <cols>
    <col min="1" max="1" width="28.33203125" customWidth="1"/>
    <col min="2" max="2" width="15.5546875" customWidth="1"/>
    <col min="3" max="3" width="13.21875" bestFit="1" customWidth="1"/>
    <col min="4" max="4" width="12.109375" bestFit="1" customWidth="1"/>
    <col min="8" max="8" width="20.44140625" customWidth="1"/>
    <col min="9" max="9" width="17.44140625" customWidth="1"/>
    <col min="10" max="10" width="11.21875" customWidth="1"/>
  </cols>
  <sheetData>
    <row r="1" spans="1:10">
      <c r="A1" s="13" t="s">
        <v>0</v>
      </c>
      <c r="B1" s="13"/>
      <c r="C1" s="8"/>
      <c r="D1" s="8"/>
      <c r="E1" s="8"/>
      <c r="F1" s="8"/>
      <c r="G1" s="8"/>
      <c r="H1" s="8"/>
      <c r="I1" s="8"/>
      <c r="J1" s="8"/>
    </row>
    <row r="2" spans="1:10">
      <c r="A2" s="13" t="s">
        <v>1</v>
      </c>
      <c r="B2" s="13"/>
      <c r="C2" s="8"/>
      <c r="D2" s="8"/>
      <c r="E2" s="8"/>
      <c r="F2" s="8"/>
      <c r="G2" s="8"/>
      <c r="H2" s="8"/>
      <c r="I2" s="8"/>
      <c r="J2" s="8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8" t="s">
        <v>2</v>
      </c>
      <c r="B4" s="13" t="s">
        <v>3</v>
      </c>
      <c r="C4" s="13" t="s">
        <v>12</v>
      </c>
      <c r="D4" s="13" t="s">
        <v>4</v>
      </c>
      <c r="E4" s="13" t="s">
        <v>5</v>
      </c>
      <c r="F4" s="13" t="s">
        <v>6</v>
      </c>
      <c r="G4" s="13" t="s">
        <v>13</v>
      </c>
      <c r="H4" s="13" t="s">
        <v>14</v>
      </c>
      <c r="I4" s="13" t="s">
        <v>15</v>
      </c>
      <c r="J4" s="13" t="s">
        <v>16</v>
      </c>
    </row>
    <row r="5" spans="1:10">
      <c r="A5" s="8" t="s">
        <v>7</v>
      </c>
      <c r="B5" s="8">
        <v>12000</v>
      </c>
      <c r="C5" s="9">
        <v>85000</v>
      </c>
      <c r="D5" s="8">
        <v>3400</v>
      </c>
      <c r="E5" s="8">
        <v>170</v>
      </c>
      <c r="F5" s="8">
        <v>51000</v>
      </c>
      <c r="G5" s="10">
        <f>D5/C5</f>
        <v>0.04</v>
      </c>
      <c r="H5" s="10">
        <f>E5/D5</f>
        <v>0.05</v>
      </c>
      <c r="I5" s="11">
        <f>B5/E5</f>
        <v>70.588235294117652</v>
      </c>
      <c r="J5" s="10">
        <f>(F5-B5)/B5</f>
        <v>3.25</v>
      </c>
    </row>
    <row r="6" spans="1:10">
      <c r="A6" s="8" t="s">
        <v>8</v>
      </c>
      <c r="B6" s="8">
        <v>15000</v>
      </c>
      <c r="C6" s="8">
        <v>110000</v>
      </c>
      <c r="D6" s="8">
        <v>5500</v>
      </c>
      <c r="E6" s="8">
        <v>275</v>
      </c>
      <c r="F6" s="8">
        <v>82500</v>
      </c>
      <c r="G6" s="10">
        <f t="shared" ref="G6:G9" si="0">D6/C6</f>
        <v>0.05</v>
      </c>
      <c r="H6" s="10">
        <f t="shared" ref="H6:H9" si="1">E6/D6</f>
        <v>0.05</v>
      </c>
      <c r="I6" s="11">
        <f t="shared" ref="I6:I9" si="2">B6/E6</f>
        <v>54.545454545454547</v>
      </c>
      <c r="J6" s="10">
        <f t="shared" ref="J6:J9" si="3">(F6-B6)/B6</f>
        <v>4.5</v>
      </c>
    </row>
    <row r="7" spans="1:10">
      <c r="A7" s="8" t="s">
        <v>9</v>
      </c>
      <c r="B7" s="8">
        <v>10000</v>
      </c>
      <c r="C7" s="8">
        <v>140000</v>
      </c>
      <c r="D7" s="8">
        <v>4200</v>
      </c>
      <c r="E7" s="8">
        <v>168</v>
      </c>
      <c r="F7" s="8">
        <v>50400</v>
      </c>
      <c r="G7" s="10">
        <f t="shared" si="0"/>
        <v>0.03</v>
      </c>
      <c r="H7" s="10">
        <f t="shared" si="1"/>
        <v>0.04</v>
      </c>
      <c r="I7" s="11">
        <f t="shared" si="2"/>
        <v>59.523809523809526</v>
      </c>
      <c r="J7" s="10">
        <f t="shared" si="3"/>
        <v>4.04</v>
      </c>
    </row>
    <row r="8" spans="1:10">
      <c r="A8" s="8" t="s">
        <v>10</v>
      </c>
      <c r="B8" s="8">
        <v>18000</v>
      </c>
      <c r="C8" s="8">
        <v>70000</v>
      </c>
      <c r="D8" s="8">
        <v>6300</v>
      </c>
      <c r="E8" s="8">
        <v>378</v>
      </c>
      <c r="F8" s="8">
        <v>113400</v>
      </c>
      <c r="G8" s="10">
        <f t="shared" si="0"/>
        <v>0.09</v>
      </c>
      <c r="H8" s="10">
        <f t="shared" si="1"/>
        <v>0.06</v>
      </c>
      <c r="I8" s="11">
        <f t="shared" si="2"/>
        <v>47.61904761904762</v>
      </c>
      <c r="J8" s="10">
        <f t="shared" si="3"/>
        <v>5.3</v>
      </c>
    </row>
    <row r="9" spans="1:10">
      <c r="A9" s="8" t="s">
        <v>11</v>
      </c>
      <c r="B9" s="8">
        <v>5000</v>
      </c>
      <c r="C9" s="8">
        <v>25000</v>
      </c>
      <c r="D9" s="8">
        <v>2500</v>
      </c>
      <c r="E9" s="8">
        <v>225</v>
      </c>
      <c r="F9" s="8">
        <v>67500</v>
      </c>
      <c r="G9" s="10">
        <f t="shared" si="0"/>
        <v>0.1</v>
      </c>
      <c r="H9" s="10">
        <f t="shared" si="1"/>
        <v>0.09</v>
      </c>
      <c r="I9" s="11">
        <f t="shared" si="2"/>
        <v>22.222222222222221</v>
      </c>
      <c r="J9" s="10">
        <f t="shared" si="3"/>
        <v>12.5</v>
      </c>
    </row>
    <row r="10" spans="1:10">
      <c r="A10" s="13" t="s">
        <v>17</v>
      </c>
      <c r="B10" s="8">
        <f>SUM(B5:B9)</f>
        <v>60000</v>
      </c>
      <c r="C10" s="8">
        <f t="shared" ref="C10:E10" si="4">SUM(C5:C9)</f>
        <v>430000</v>
      </c>
      <c r="D10" s="8">
        <f t="shared" si="4"/>
        <v>21900</v>
      </c>
      <c r="E10" s="8">
        <f t="shared" si="4"/>
        <v>1216</v>
      </c>
      <c r="F10" s="8">
        <f>SUM(F5:F9)</f>
        <v>364800</v>
      </c>
      <c r="G10" s="10">
        <f>D10/C10</f>
        <v>5.0930232558139533E-2</v>
      </c>
      <c r="H10" s="10">
        <f>E10/D10</f>
        <v>5.5525114155251139E-2</v>
      </c>
      <c r="I10" s="12">
        <f>B10/E10</f>
        <v>49.342105263157897</v>
      </c>
      <c r="J10" s="10">
        <f>(F10-B10)/B10</f>
        <v>5.08</v>
      </c>
    </row>
    <row r="11" spans="1:10">
      <c r="A11" s="13" t="s">
        <v>18</v>
      </c>
      <c r="B11" s="8">
        <f>AVERAGE(B5:B9)</f>
        <v>12000</v>
      </c>
      <c r="C11" s="8">
        <f t="shared" ref="C11:H11" si="5">AVERAGE(C5:C9)</f>
        <v>86000</v>
      </c>
      <c r="D11" s="8">
        <f t="shared" si="5"/>
        <v>4380</v>
      </c>
      <c r="E11" s="8">
        <f t="shared" si="5"/>
        <v>243.2</v>
      </c>
      <c r="F11" s="8">
        <f t="shared" si="5"/>
        <v>72960</v>
      </c>
      <c r="G11" s="10">
        <f t="shared" si="5"/>
        <v>6.2E-2</v>
      </c>
      <c r="H11" s="10">
        <f t="shared" si="5"/>
        <v>5.800000000000001E-2</v>
      </c>
      <c r="I11" s="12">
        <f>AVERAGE(I5:I9)</f>
        <v>50.899753840930316</v>
      </c>
      <c r="J11" s="10">
        <f>AVERAGE(J5:J9)</f>
        <v>5.9180000000000001</v>
      </c>
    </row>
    <row r="12" spans="1:10">
      <c r="A12" s="13" t="s">
        <v>19</v>
      </c>
      <c r="B12" s="8">
        <f>MAX(B5:B9)</f>
        <v>18000</v>
      </c>
      <c r="C12" s="8">
        <f t="shared" ref="C12:H12" si="6">MAX(C5:C9)</f>
        <v>140000</v>
      </c>
      <c r="D12" s="8">
        <f t="shared" si="6"/>
        <v>6300</v>
      </c>
      <c r="E12" s="8">
        <f t="shared" si="6"/>
        <v>378</v>
      </c>
      <c r="F12" s="8">
        <f t="shared" si="6"/>
        <v>113400</v>
      </c>
      <c r="G12" s="10">
        <f t="shared" si="6"/>
        <v>0.1</v>
      </c>
      <c r="H12" s="10">
        <f t="shared" si="6"/>
        <v>0.09</v>
      </c>
      <c r="I12" s="12">
        <f>MAX(I5:I9)</f>
        <v>70.588235294117652</v>
      </c>
      <c r="J12" s="10">
        <f>MAX(J5:J9)</f>
        <v>12.5</v>
      </c>
    </row>
    <row r="13" spans="1:10">
      <c r="A13" s="13" t="s">
        <v>20</v>
      </c>
      <c r="B13" s="8">
        <f>MIN(B5:B9)</f>
        <v>5000</v>
      </c>
      <c r="C13" s="8">
        <f t="shared" ref="C13:H13" si="7">MIN(C5:C9)</f>
        <v>25000</v>
      </c>
      <c r="D13" s="8">
        <f t="shared" si="7"/>
        <v>2500</v>
      </c>
      <c r="E13" s="8">
        <f t="shared" si="7"/>
        <v>168</v>
      </c>
      <c r="F13" s="8">
        <f t="shared" si="7"/>
        <v>50400</v>
      </c>
      <c r="G13" s="10">
        <f t="shared" si="7"/>
        <v>0.03</v>
      </c>
      <c r="H13" s="10">
        <f t="shared" si="7"/>
        <v>0.04</v>
      </c>
      <c r="I13" s="12">
        <f>MIN(I5:I9)</f>
        <v>22.222222222222221</v>
      </c>
      <c r="J13" s="10">
        <f>MIN(J5:J9)</f>
        <v>3.25</v>
      </c>
    </row>
    <row r="14" spans="1:10">
      <c r="A14" s="2" t="s">
        <v>21</v>
      </c>
    </row>
    <row r="15" spans="1:10" ht="15">
      <c r="A15" s="3" t="s">
        <v>22</v>
      </c>
      <c r="B15" s="2" t="s">
        <v>23</v>
      </c>
      <c r="C15" s="2" t="s">
        <v>19</v>
      </c>
      <c r="D15" s="2" t="s">
        <v>20</v>
      </c>
      <c r="E15" s="2"/>
    </row>
    <row r="16" spans="1:10" ht="15">
      <c r="A16" s="4" t="s">
        <v>24</v>
      </c>
      <c r="B16" s="1">
        <f>B10</f>
        <v>60000</v>
      </c>
      <c r="C16" s="1">
        <f>B12</f>
        <v>18000</v>
      </c>
      <c r="D16" s="1">
        <f>B13</f>
        <v>5000</v>
      </c>
    </row>
    <row r="17" spans="1:4" ht="15">
      <c r="A17" s="4" t="s">
        <v>12</v>
      </c>
      <c r="B17" s="6">
        <f>C10</f>
        <v>430000</v>
      </c>
      <c r="C17" s="6">
        <f>C12</f>
        <v>140000</v>
      </c>
      <c r="D17" s="6">
        <f>C13</f>
        <v>25000</v>
      </c>
    </row>
    <row r="18" spans="1:4" ht="15">
      <c r="A18" s="4" t="s">
        <v>4</v>
      </c>
      <c r="B18" s="7">
        <f>D10</f>
        <v>21900</v>
      </c>
      <c r="C18" s="7">
        <f>D12</f>
        <v>6300</v>
      </c>
      <c r="D18" s="7">
        <f>D13</f>
        <v>2500</v>
      </c>
    </row>
    <row r="19" spans="1:4" ht="15">
      <c r="A19" s="4" t="s">
        <v>5</v>
      </c>
      <c r="B19" s="7">
        <f>E10</f>
        <v>1216</v>
      </c>
      <c r="C19" s="7">
        <f>E12</f>
        <v>378</v>
      </c>
      <c r="D19" s="7">
        <f>E13</f>
        <v>168</v>
      </c>
    </row>
    <row r="20" spans="1:4" ht="15">
      <c r="A20" s="4" t="s">
        <v>25</v>
      </c>
      <c r="B20" s="1">
        <f>F10</f>
        <v>364800</v>
      </c>
      <c r="C20" s="1">
        <f>F12</f>
        <v>113400</v>
      </c>
      <c r="D20" s="1">
        <f>F13</f>
        <v>50400</v>
      </c>
    </row>
    <row r="21" spans="1:4" ht="13.8" customHeight="1">
      <c r="A21" s="4" t="s">
        <v>13</v>
      </c>
      <c r="B21" s="5">
        <f>G11</f>
        <v>6.2E-2</v>
      </c>
      <c r="C21" s="5">
        <f>G12</f>
        <v>0.1</v>
      </c>
      <c r="D21" s="5">
        <f>G13</f>
        <v>0.03</v>
      </c>
    </row>
    <row r="22" spans="1:4" ht="15">
      <c r="A22" t="s">
        <v>27</v>
      </c>
      <c r="B22" s="5">
        <f>H11</f>
        <v>5.800000000000001E-2</v>
      </c>
      <c r="C22" s="5">
        <f>H12</f>
        <v>0.09</v>
      </c>
      <c r="D22" s="5">
        <f>H13</f>
        <v>0.04</v>
      </c>
    </row>
    <row r="23" spans="1:4" ht="15">
      <c r="A23" s="4" t="s">
        <v>26</v>
      </c>
      <c r="B23" s="1">
        <f>I11</f>
        <v>50.899753840930316</v>
      </c>
      <c r="C23" s="1">
        <f>I12</f>
        <v>70.588235294117652</v>
      </c>
      <c r="D23" s="1">
        <f>I13</f>
        <v>22.222222222222221</v>
      </c>
    </row>
    <row r="24" spans="1:4" ht="15">
      <c r="A24" s="4" t="s">
        <v>16</v>
      </c>
      <c r="B24" s="5">
        <f>J11</f>
        <v>5.9180000000000001</v>
      </c>
      <c r="C24" s="5">
        <f>J12</f>
        <v>12.5</v>
      </c>
      <c r="D24" s="5">
        <f>J13</f>
        <v>3.25</v>
      </c>
    </row>
  </sheetData>
  <conditionalFormatting sqref="E5:E9">
    <cfRule type="top10" dxfId="2" priority="3" rank="1"/>
  </conditionalFormatting>
  <conditionalFormatting sqref="I5:I9">
    <cfRule type="top10" dxfId="1" priority="2" rank="1"/>
  </conditionalFormatting>
  <conditionalFormatting sqref="J5:J9">
    <cfRule type="top10" dxfId="0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E6F3-6496-47D4-9D35-99293BFFD199}">
  <dimension ref="A1:O27"/>
  <sheetViews>
    <sheetView zoomScale="58" workbookViewId="0">
      <selection activeCell="O22" sqref="O22"/>
    </sheetView>
  </sheetViews>
  <sheetFormatPr baseColWidth="10" defaultRowHeight="14.4"/>
  <cols>
    <col min="1" max="1" width="29.109375" customWidth="1"/>
    <col min="2" max="2" width="12.88671875" customWidth="1"/>
    <col min="4" max="4" width="18.33203125" bestFit="1" customWidth="1"/>
    <col min="5" max="5" width="20.44140625" customWidth="1"/>
  </cols>
  <sheetData>
    <row r="1" spans="1:6">
      <c r="A1" s="2" t="s">
        <v>29</v>
      </c>
      <c r="B1" s="2"/>
      <c r="C1" s="2"/>
      <c r="D1" s="2"/>
    </row>
    <row r="2" spans="1:6">
      <c r="A2" s="2" t="s">
        <v>30</v>
      </c>
    </row>
    <row r="3" spans="1:6">
      <c r="A3" s="2" t="s">
        <v>31</v>
      </c>
      <c r="B3">
        <f>Campaña!B10</f>
        <v>60000</v>
      </c>
      <c r="C3" s="2"/>
      <c r="D3" s="2" t="s">
        <v>41</v>
      </c>
    </row>
    <row r="4" spans="1:6">
      <c r="A4" s="2" t="s">
        <v>32</v>
      </c>
      <c r="B4">
        <f>Campaña!C10</f>
        <v>430000</v>
      </c>
      <c r="D4" t="s">
        <v>42</v>
      </c>
      <c r="E4" t="s">
        <v>10</v>
      </c>
    </row>
    <row r="5" spans="1:6">
      <c r="A5" s="2" t="s">
        <v>33</v>
      </c>
      <c r="B5">
        <f>Campaña!D10</f>
        <v>21900</v>
      </c>
      <c r="D5" s="2" t="s">
        <v>43</v>
      </c>
      <c r="E5" t="s">
        <v>44</v>
      </c>
    </row>
    <row r="6" spans="1:6">
      <c r="A6" s="2" t="s">
        <v>34</v>
      </c>
      <c r="B6">
        <f>Campaña!E10</f>
        <v>1216</v>
      </c>
      <c r="D6" s="2" t="s">
        <v>45</v>
      </c>
      <c r="E6" t="s">
        <v>7</v>
      </c>
    </row>
    <row r="7" spans="1:6">
      <c r="A7" s="2" t="s">
        <v>35</v>
      </c>
      <c r="B7">
        <f>Campaña!F10</f>
        <v>364800</v>
      </c>
      <c r="D7" s="14" t="s">
        <v>43</v>
      </c>
      <c r="E7" t="s">
        <v>46</v>
      </c>
    </row>
    <row r="8" spans="1:6">
      <c r="A8" s="2" t="s">
        <v>36</v>
      </c>
      <c r="B8">
        <v>6.2</v>
      </c>
    </row>
    <row r="9" spans="1:6">
      <c r="A9" s="2" t="s">
        <v>37</v>
      </c>
      <c r="B9">
        <v>5.8</v>
      </c>
    </row>
    <row r="10" spans="1:6">
      <c r="A10" s="2" t="s">
        <v>38</v>
      </c>
      <c r="B10" t="s">
        <v>40</v>
      </c>
    </row>
    <row r="11" spans="1:6">
      <c r="A11" s="2" t="s">
        <v>39</v>
      </c>
      <c r="B11">
        <v>72860</v>
      </c>
    </row>
    <row r="15" spans="1:6">
      <c r="A15" s="2" t="s">
        <v>2</v>
      </c>
      <c r="B15" s="2" t="s">
        <v>5</v>
      </c>
      <c r="C15" s="2" t="s">
        <v>47</v>
      </c>
      <c r="D15" s="2" t="s">
        <v>48</v>
      </c>
      <c r="E15" s="2" t="s">
        <v>26</v>
      </c>
      <c r="F15" s="2" t="s">
        <v>49</v>
      </c>
    </row>
    <row r="16" spans="1:6">
      <c r="A16" t="s">
        <v>7</v>
      </c>
      <c r="B16">
        <v>170</v>
      </c>
      <c r="C16">
        <v>4</v>
      </c>
      <c r="D16">
        <v>5</v>
      </c>
      <c r="E16" t="s">
        <v>50</v>
      </c>
      <c r="F16">
        <v>50900</v>
      </c>
    </row>
    <row r="17" spans="1:15">
      <c r="A17" t="s">
        <v>8</v>
      </c>
      <c r="B17">
        <v>275</v>
      </c>
      <c r="C17">
        <v>5</v>
      </c>
      <c r="D17">
        <v>5</v>
      </c>
      <c r="E17" t="s">
        <v>51</v>
      </c>
      <c r="F17">
        <v>82400</v>
      </c>
    </row>
    <row r="18" spans="1:15">
      <c r="A18" t="s">
        <v>9</v>
      </c>
      <c r="B18">
        <v>168</v>
      </c>
      <c r="C18">
        <v>3</v>
      </c>
      <c r="D18">
        <v>4</v>
      </c>
      <c r="E18" t="s">
        <v>52</v>
      </c>
      <c r="F18">
        <v>50300</v>
      </c>
    </row>
    <row r="19" spans="1:15">
      <c r="A19" t="s">
        <v>10</v>
      </c>
      <c r="B19">
        <v>378</v>
      </c>
      <c r="C19">
        <v>9</v>
      </c>
      <c r="D19">
        <v>6</v>
      </c>
      <c r="E19" t="s">
        <v>53</v>
      </c>
      <c r="F19">
        <v>113300</v>
      </c>
    </row>
    <row r="20" spans="1:15">
      <c r="A20" t="s">
        <v>11</v>
      </c>
      <c r="B20">
        <v>225</v>
      </c>
      <c r="C20">
        <v>10</v>
      </c>
      <c r="D20">
        <v>9</v>
      </c>
      <c r="E20" t="s">
        <v>54</v>
      </c>
      <c r="F20">
        <v>67400</v>
      </c>
    </row>
    <row r="26" spans="1:15">
      <c r="C26" s="2"/>
    </row>
    <row r="27" spans="1:15">
      <c r="O27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Campaña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 Martinez Avila</dc:creator>
  <cp:lastModifiedBy>Halima Martinez Avila</cp:lastModifiedBy>
  <dcterms:created xsi:type="dcterms:W3CDTF">2026-09-06T19:03:55Z</dcterms:created>
  <dcterms:modified xsi:type="dcterms:W3CDTF">2026-09-07T15:18:25Z</dcterms:modified>
</cp:coreProperties>
</file>