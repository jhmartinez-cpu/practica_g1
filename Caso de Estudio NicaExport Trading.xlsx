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0df9f6fddd9d49/Documents/GitHub/practica_g1/"/>
    </mc:Choice>
  </mc:AlternateContent>
  <xr:revisionPtr revIDLastSave="56" documentId="13_ncr:1_{82106015-A981-40E0-8EB6-196E85EA0F1E}" xr6:coauthVersionLast="47" xr6:coauthVersionMax="47" xr10:uidLastSave="{94BB5CCB-A612-4A3B-BAD8-028E315B0D5B}"/>
  <bookViews>
    <workbookView xWindow="-108" yWindow="-108" windowWidth="23256" windowHeight="12456" xr2:uid="{7B738EEA-C5D1-4763-99B0-CB41F4188051}"/>
  </bookViews>
  <sheets>
    <sheet name="1. Operaciones" sheetId="2" r:id="rId1"/>
    <sheet name="2. Productos" sheetId="3" r:id="rId2"/>
    <sheet name="3. Mercado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2" l="1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N4" i="2"/>
  <c r="R4" i="2" s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</calcChain>
</file>

<file path=xl/sharedStrings.xml><?xml version="1.0" encoding="utf-8"?>
<sst xmlns="http://schemas.openxmlformats.org/spreadsheetml/2006/main" count="566" uniqueCount="163">
  <si>
    <t>Fecha</t>
  </si>
  <si>
    <t>Cliente</t>
  </si>
  <si>
    <t>Código Producto</t>
  </si>
  <si>
    <t>Unidades</t>
  </si>
  <si>
    <t>Precio FOB</t>
  </si>
  <si>
    <t>Costo Unitario</t>
  </si>
  <si>
    <t>Estado</t>
  </si>
  <si>
    <t>EX001</t>
  </si>
  <si>
    <t>Comercial Maya</t>
  </si>
  <si>
    <t>P003</t>
  </si>
  <si>
    <t>Guatemala</t>
  </si>
  <si>
    <t>Embarcado</t>
  </si>
  <si>
    <t>EX002</t>
  </si>
  <si>
    <t>Global Foods</t>
  </si>
  <si>
    <t>P001</t>
  </si>
  <si>
    <t>EE.UU.</t>
  </si>
  <si>
    <t>Entregado</t>
  </si>
  <si>
    <t>EX003</t>
  </si>
  <si>
    <t>Distribuidora Tica</t>
  </si>
  <si>
    <t>P004</t>
  </si>
  <si>
    <t>Costa Rica</t>
  </si>
  <si>
    <t>EX004</t>
  </si>
  <si>
    <t>Iberia Foods</t>
  </si>
  <si>
    <t>P002</t>
  </si>
  <si>
    <t>España</t>
  </si>
  <si>
    <t>Pendiente</t>
  </si>
  <si>
    <t>EX005</t>
  </si>
  <si>
    <t>Comercial Azteca</t>
  </si>
  <si>
    <t>P005</t>
  </si>
  <si>
    <t>México</t>
  </si>
  <si>
    <t>EX006</t>
  </si>
  <si>
    <t>EX007</t>
  </si>
  <si>
    <t>EX008</t>
  </si>
  <si>
    <t>Código</t>
  </si>
  <si>
    <t>Producto</t>
  </si>
  <si>
    <t>Categoría</t>
  </si>
  <si>
    <t>Café especial</t>
  </si>
  <si>
    <t>Café</t>
  </si>
  <si>
    <t>Kg</t>
  </si>
  <si>
    <t>Cacao en grano</t>
  </si>
  <si>
    <t>Cacao</t>
  </si>
  <si>
    <t>Miel natural</t>
  </si>
  <si>
    <t>Apícola</t>
  </si>
  <si>
    <t>Maní procesado</t>
  </si>
  <si>
    <t>Semillas</t>
  </si>
  <si>
    <t>Aceite de ajonjolí</t>
  </si>
  <si>
    <t>Aceites</t>
  </si>
  <si>
    <t>Litro</t>
  </si>
  <si>
    <t>País</t>
  </si>
  <si>
    <t>Región</t>
  </si>
  <si>
    <t>Arancel %</t>
  </si>
  <si>
    <t>Clasificación</t>
  </si>
  <si>
    <t>Norteamérica</t>
  </si>
  <si>
    <t>Estratégico</t>
  </si>
  <si>
    <t>Potencial</t>
  </si>
  <si>
    <t>Centroamérica</t>
  </si>
  <si>
    <t>El Salvador</t>
  </si>
  <si>
    <t>Europa</t>
  </si>
  <si>
    <t>EX009</t>
  </si>
  <si>
    <t>EX010</t>
  </si>
  <si>
    <t>EX011</t>
  </si>
  <si>
    <t>EX012</t>
  </si>
  <si>
    <t>EX013</t>
  </si>
  <si>
    <t>EX014</t>
  </si>
  <si>
    <t>EX015</t>
  </si>
  <si>
    <t>EX016</t>
  </si>
  <si>
    <t>EX017</t>
  </si>
  <si>
    <t>EX018</t>
  </si>
  <si>
    <t>EX019</t>
  </si>
  <si>
    <t>EX020</t>
  </si>
  <si>
    <t>EX021</t>
  </si>
  <si>
    <t>EX022</t>
  </si>
  <si>
    <t>EX023</t>
  </si>
  <si>
    <t>EX024</t>
  </si>
  <si>
    <t>EX025</t>
  </si>
  <si>
    <t>EX026</t>
  </si>
  <si>
    <t>EX027</t>
  </si>
  <si>
    <t>EX028</t>
  </si>
  <si>
    <t>EX029</t>
  </si>
  <si>
    <t>EX030</t>
  </si>
  <si>
    <t>EX031</t>
  </si>
  <si>
    <t>EX032</t>
  </si>
  <si>
    <t>EX033</t>
  </si>
  <si>
    <t>EX034</t>
  </si>
  <si>
    <t>EX035</t>
  </si>
  <si>
    <t>EX036</t>
  </si>
  <si>
    <t>EX037</t>
  </si>
  <si>
    <t>EX038</t>
  </si>
  <si>
    <t>EX039</t>
  </si>
  <si>
    <t>EX040</t>
  </si>
  <si>
    <t>EX041</t>
  </si>
  <si>
    <t>EX042</t>
  </si>
  <si>
    <t>EX043</t>
  </si>
  <si>
    <t>EX044</t>
  </si>
  <si>
    <t>EX045</t>
  </si>
  <si>
    <t>EX046</t>
  </si>
  <si>
    <t>EX047</t>
  </si>
  <si>
    <t>EX048</t>
  </si>
  <si>
    <t>EX049</t>
  </si>
  <si>
    <t>EX050</t>
  </si>
  <si>
    <t>EX051</t>
  </si>
  <si>
    <t>EX052</t>
  </si>
  <si>
    <t>EX053</t>
  </si>
  <si>
    <t>EX054</t>
  </si>
  <si>
    <t>EX055</t>
  </si>
  <si>
    <t>EX056</t>
  </si>
  <si>
    <t>EX057</t>
  </si>
  <si>
    <t>EX058</t>
  </si>
  <si>
    <t>EX059</t>
  </si>
  <si>
    <t>EX060</t>
  </si>
  <si>
    <t>EX061</t>
  </si>
  <si>
    <t>EX062</t>
  </si>
  <si>
    <t>EX063</t>
  </si>
  <si>
    <t>EX064</t>
  </si>
  <si>
    <t>EX065</t>
  </si>
  <si>
    <t>EX066</t>
  </si>
  <si>
    <t>EX067</t>
  </si>
  <si>
    <t>EX068</t>
  </si>
  <si>
    <t>EX069</t>
  </si>
  <si>
    <t>EX070</t>
  </si>
  <si>
    <t>EX071</t>
  </si>
  <si>
    <t>EX072</t>
  </si>
  <si>
    <t>EX073</t>
  </si>
  <si>
    <t>EX074</t>
  </si>
  <si>
    <t>EX075</t>
  </si>
  <si>
    <t>EX076</t>
  </si>
  <si>
    <t>EX077</t>
  </si>
  <si>
    <t>EX078</t>
  </si>
  <si>
    <t>EX079</t>
  </si>
  <si>
    <t>EX080</t>
  </si>
  <si>
    <t>EX081</t>
  </si>
  <si>
    <t>EX082</t>
  </si>
  <si>
    <t>EX083</t>
  </si>
  <si>
    <t>EX084</t>
  </si>
  <si>
    <t>EX085</t>
  </si>
  <si>
    <t>EX086</t>
  </si>
  <si>
    <t>EX087</t>
  </si>
  <si>
    <t>EX088</t>
  </si>
  <si>
    <t>EX089</t>
  </si>
  <si>
    <t>EX090</t>
  </si>
  <si>
    <t>EX091</t>
  </si>
  <si>
    <t>EX092</t>
  </si>
  <si>
    <t>EX093</t>
  </si>
  <si>
    <t>EX094</t>
  </si>
  <si>
    <t>EX095</t>
  </si>
  <si>
    <t>EX096</t>
  </si>
  <si>
    <t>EX097</t>
  </si>
  <si>
    <t>EX098</t>
  </si>
  <si>
    <t>EX099</t>
  </si>
  <si>
    <t>EX100</t>
  </si>
  <si>
    <t>ID_Operación</t>
  </si>
  <si>
    <t>Unidad de Medida</t>
  </si>
  <si>
    <t>Mercados</t>
  </si>
  <si>
    <t>productos</t>
  </si>
  <si>
    <t>Categoria</t>
  </si>
  <si>
    <t>Region</t>
  </si>
  <si>
    <t>Pais Destino</t>
  </si>
  <si>
    <t>Arancel</t>
  </si>
  <si>
    <t>Clasificacion de mercados</t>
  </si>
  <si>
    <t>Costo total</t>
  </si>
  <si>
    <t xml:space="preserve">Utilidad </t>
  </si>
  <si>
    <t>Valor FOB</t>
  </si>
  <si>
    <t>Margen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</si>
</sst>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vertical="top"/>
    </xf>
    <xf numFmtId="0" fontId="0" fillId="0" borderId="1" xfId="0" applyBorder="1" applyAlignment="1">
      <alignment horizontal="center"/>
    </xf>
    <xf numFmtId="9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4" fontId="0" fillId="0" borderId="8" xfId="0" applyNumberFormat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right"/>
    </xf>
    <xf numFmtId="0" fontId="0" fillId="0" borderId="9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/>
    <xf numFmtId="9" fontId="0" fillId="0" borderId="8" xfId="0" applyNumberFormat="1" applyBorder="1"/>
    <xf numFmtId="0" fontId="0" fillId="0" borderId="5" xfId="0" applyBorder="1"/>
    <xf numFmtId="9" fontId="0" fillId="0" borderId="0" xfId="1" applyFont="1"/>
  </cellXfs>
  <cellStyles count="2">
    <cellStyle name="Normal" xfId="0" builtinId="0"/>
    <cellStyle name="Porcentaje" xfId="1" builtinId="5"/>
  </cellStyles>
  <dxfs count="37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3A0A78-DF8E-4B4F-8927-BCC37931132F}" name="Operaciones" displayName="Operaciones" ref="B3:S103" totalsRowShown="0" headerRowDxfId="24" headerRowBorderDxfId="35" tableBorderDxfId="36" totalsRowBorderDxfId="34">
  <autoFilter ref="B3:S103" xr:uid="{193A0A78-DF8E-4B4F-8927-BCC37931132F}"/>
  <tableColumns count="18">
    <tableColumn id="1" xr3:uid="{D7AF2070-5EA9-4F9F-95B2-84723A32572F}" name="ID_Operación" dataDxfId="33"/>
    <tableColumn id="2" xr3:uid="{3533D433-B782-419D-9761-A38D766B5D19}" name="Fecha" dataDxfId="32"/>
    <tableColumn id="3" xr3:uid="{78B4BB2B-A707-4846-842B-3DAAA842D90E}" name="Cliente" dataDxfId="31"/>
    <tableColumn id="4" xr3:uid="{EF825069-5FFC-4EB6-9DAE-C17ED63C3102}" name="Código Producto" dataDxfId="30"/>
    <tableColumn id="10" xr3:uid="{3112C624-6A34-4DB5-A641-0C72AB5F54D2}" name="productos" dataDxfId="7">
      <calculatedColumnFormula>VLOOKUP(Operaciones[[#This Row],[Código Producto]],Producto[#All],2,0)</calculatedColumnFormula>
    </tableColumn>
    <tableColumn id="11" xr3:uid="{551A08EB-EBB8-4110-900E-FABCC97790FD}" name="Categoria" dataDxfId="6">
      <calculatedColumnFormula>VLOOKUP(Operaciones[[#This Row],[Código Producto]],Producto[#All],3,0)</calculatedColumnFormula>
    </tableColumn>
    <tableColumn id="5" xr3:uid="{94951C5C-46C0-4A84-A9B1-D0F5EC39BFB0}" name="Pais Destino" dataDxfId="29"/>
    <tableColumn id="12" xr3:uid="{03131C73-0F64-4493-B359-601778227FDC}" name="Region" dataDxfId="5">
      <calculatedColumnFormula>VLOOKUP(Operaciones[[#This Row],[Pais Destino]],Mercado[#All],2,0)</calculatedColumnFormula>
    </tableColumn>
    <tableColumn id="13" xr3:uid="{C4CB487C-0E4B-41DE-8B20-F2C10B929B97}" name="Arancel" dataDxfId="4">
      <calculatedColumnFormula>VLOOKUP(Operaciones[[#This Row],[Pais Destino]],Mercado[],3,0)</calculatedColumnFormula>
    </tableColumn>
    <tableColumn id="15" xr3:uid="{1FF4B470-E58C-4681-ADCF-EFCDC875C34E}" name="Clasificacion de mercados" dataDxfId="3">
      <calculatedColumnFormula>VLOOKUP(Operaciones[[#This Row],[Pais Destino]],Mercado[#All],4,0)</calculatedColumnFormula>
    </tableColumn>
    <tableColumn id="6" xr3:uid="{94EAA73D-91AB-45C4-AAC1-64D0A3EC0FD9}" name="Unidades" dataDxfId="28"/>
    <tableColumn id="7" xr3:uid="{1DABE8AD-011C-48A1-95E4-8ADA9E5E5E0F}" name="Precio FOB" dataDxfId="27"/>
    <tableColumn id="19" xr3:uid="{243D51C0-4F0E-4B23-8AEA-45B191EC7EB9}" name="Valor FOB" dataDxfId="1">
      <calculatedColumnFormula>Operaciones[[#This Row],[Unidades]]*Operaciones[[#This Row],[Precio FOB]]</calculatedColumnFormula>
    </tableColumn>
    <tableColumn id="8" xr3:uid="{61559804-F751-496D-9FED-5F3DE0A93546}" name="Costo Unitario" dataDxfId="26"/>
    <tableColumn id="17" xr3:uid="{D936C16E-C19A-41B9-8110-8B95481805F4}" name="Costo total" dataDxfId="2">
      <calculatedColumnFormula>Operaciones[[#This Row],[Unidades]]*Operaciones[[#This Row],[Costo Unitario]]</calculatedColumnFormula>
    </tableColumn>
    <tableColumn id="9" xr3:uid="{CAAA96CB-BEB4-458C-B736-0804EF166C74}" name="Estado" dataDxfId="25"/>
    <tableColumn id="18" xr3:uid="{188F0CFF-094F-4BA8-B1EB-44767E60E800}" name="Utilidad " dataDxfId="0">
      <calculatedColumnFormula>Operaciones[[#This Row],[Valor FOB]]-Operaciones[[#This Row],[Costo total]]</calculatedColumnFormula>
    </tableColumn>
    <tableColumn id="20" xr3:uid="{04E5A7CD-43FB-4E5A-B22F-75197892CF79}" name="Margen" dataCellStyle="Porcentaje">
      <calculatedColumnFormula>Operaciones[[#This Row],[Utilidad ]]/Operaciones[[#This Row],[Valor FOB]]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3646F2-C3E9-4BB0-A9DF-254FE5BA3AC5}" name="Producto" displayName="Producto" ref="C3:F8" totalsRowShown="0" headerRowDxfId="16" headerRowBorderDxfId="22" tableBorderDxfId="23" totalsRowBorderDxfId="21">
  <autoFilter ref="C3:F8" xr:uid="{1B3646F2-C3E9-4BB0-A9DF-254FE5BA3AC5}"/>
  <tableColumns count="4">
    <tableColumn id="1" xr3:uid="{A9088308-C1CC-4DEE-8A75-D8F709217411}" name="Código" dataDxfId="20"/>
    <tableColumn id="2" xr3:uid="{624C5C45-2729-42F8-BE04-EB3AA8F64193}" name="Producto" dataDxfId="19"/>
    <tableColumn id="3" xr3:uid="{87BF6242-4874-42CF-9C7F-CE7F194F5922}" name="Categoría" dataDxfId="18"/>
    <tableColumn id="4" xr3:uid="{33E17B09-C19F-432C-B9A3-CAA9A2DBE49B}" name="Unidad de Medida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8BF7AD-924F-4F1D-AD3E-BB6D25402545}" name="Mercado" displayName="Mercado" ref="C3:F9" totalsRowShown="0" headerRowDxfId="8" headerRowBorderDxfId="14" tableBorderDxfId="15" totalsRowBorderDxfId="13">
  <autoFilter ref="C3:F9" xr:uid="{EC8BF7AD-924F-4F1D-AD3E-BB6D25402545}"/>
  <tableColumns count="4">
    <tableColumn id="1" xr3:uid="{674651A6-9FE9-480A-B2F0-73E2712817DD}" name="País" dataDxfId="12"/>
    <tableColumn id="2" xr3:uid="{3E25457D-6FFF-4628-A330-3A2D6CFF3A86}" name="Región" dataDxfId="11"/>
    <tableColumn id="3" xr3:uid="{A9825D14-5C6E-437B-9B46-2C821D567FAD}" name="Arancel %" dataDxfId="10"/>
    <tableColumn id="4" xr3:uid="{C01F6363-9AA3-4FE5-9668-5426B0025813}" name="Clasificación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D38B-430D-415B-AA5D-CFC57CBDFEC2}">
  <dimension ref="B1:S105"/>
  <sheetViews>
    <sheetView tabSelected="1" zoomScale="76" workbookViewId="0">
      <selection activeCell="S4" sqref="S4:S104"/>
    </sheetView>
  </sheetViews>
  <sheetFormatPr baseColWidth="10" defaultRowHeight="14.4" x14ac:dyDescent="0.3"/>
  <cols>
    <col min="2" max="2" width="14.33203125" customWidth="1"/>
    <col min="3" max="3" width="11.77734375" style="2" customWidth="1"/>
    <col min="4" max="4" width="16.44140625" customWidth="1"/>
    <col min="5" max="7" width="17" customWidth="1"/>
    <col min="8" max="9" width="13" customWidth="1"/>
    <col min="10" max="11" width="13.44140625" customWidth="1"/>
    <col min="13" max="14" width="11.88671875" customWidth="1"/>
    <col min="15" max="16" width="14.88671875" customWidth="1"/>
    <col min="17" max="17" width="10.77734375" customWidth="1"/>
  </cols>
  <sheetData>
    <row r="1" spans="2:19" x14ac:dyDescent="0.3">
      <c r="E1" s="2"/>
      <c r="F1" s="2"/>
      <c r="G1" s="2"/>
    </row>
    <row r="3" spans="2:19" x14ac:dyDescent="0.3">
      <c r="B3" s="10" t="s">
        <v>150</v>
      </c>
      <c r="C3" s="11" t="s">
        <v>0</v>
      </c>
      <c r="D3" s="11" t="s">
        <v>1</v>
      </c>
      <c r="E3" s="11" t="s">
        <v>2</v>
      </c>
      <c r="F3" s="11" t="s">
        <v>153</v>
      </c>
      <c r="G3" s="11" t="s">
        <v>154</v>
      </c>
      <c r="H3" s="11" t="s">
        <v>156</v>
      </c>
      <c r="I3" s="11" t="s">
        <v>155</v>
      </c>
      <c r="J3" s="11" t="s">
        <v>157</v>
      </c>
      <c r="K3" s="11" t="s">
        <v>158</v>
      </c>
      <c r="L3" s="11" t="s">
        <v>3</v>
      </c>
      <c r="M3" s="11" t="s">
        <v>4</v>
      </c>
      <c r="N3" s="11" t="s">
        <v>161</v>
      </c>
      <c r="O3" s="11" t="s">
        <v>5</v>
      </c>
      <c r="P3" s="12" t="s">
        <v>159</v>
      </c>
      <c r="Q3" s="12" t="s">
        <v>6</v>
      </c>
      <c r="R3" s="11" t="s">
        <v>160</v>
      </c>
      <c r="S3" s="11" t="s">
        <v>162</v>
      </c>
    </row>
    <row r="4" spans="2:19" x14ac:dyDescent="0.3">
      <c r="B4" s="8" t="s">
        <v>7</v>
      </c>
      <c r="C4" s="7">
        <v>46027</v>
      </c>
      <c r="D4" s="1" t="s">
        <v>8</v>
      </c>
      <c r="E4" s="5" t="s">
        <v>9</v>
      </c>
      <c r="F4" s="5" t="str">
        <f>VLOOKUP(Operaciones[[#This Row],[Código Producto]],Producto[#All],2,0)</f>
        <v>Miel natural</v>
      </c>
      <c r="G4" s="5" t="str">
        <f>VLOOKUP(Operaciones[[#This Row],[Código Producto]],Producto[#All],3,0)</f>
        <v>Apícola</v>
      </c>
      <c r="H4" s="1" t="s">
        <v>10</v>
      </c>
      <c r="I4" s="1" t="str">
        <f>VLOOKUP(Operaciones[[#This Row],[Pais Destino]],Mercado[#All],2,0)</f>
        <v>Centroamérica</v>
      </c>
      <c r="J4" s="1">
        <f>VLOOKUP(Operaciones[[#This Row],[Pais Destino]],Mercado[],3,0)</f>
        <v>0.03</v>
      </c>
      <c r="K4" s="1" t="str">
        <f>VLOOKUP(Operaciones[[#This Row],[Pais Destino]],Mercado[#All],4,0)</f>
        <v>Estratégico</v>
      </c>
      <c r="L4" s="1">
        <v>850</v>
      </c>
      <c r="M4" s="1">
        <v>4.8</v>
      </c>
      <c r="N4" s="1">
        <f>Operaciones[[#This Row],[Unidades]]*Operaciones[[#This Row],[Precio FOB]]</f>
        <v>4080</v>
      </c>
      <c r="O4" s="1">
        <v>3.2</v>
      </c>
      <c r="P4" s="23">
        <f>Operaciones[[#This Row],[Unidades]]*Operaciones[[#This Row],[Costo Unitario]]</f>
        <v>2720</v>
      </c>
      <c r="Q4" s="9" t="s">
        <v>11</v>
      </c>
      <c r="R4" s="25">
        <f>Operaciones[[#This Row],[Valor FOB]]-Operaciones[[#This Row],[Costo total]]</f>
        <v>1360</v>
      </c>
      <c r="S4" s="26">
        <f>Operaciones[[#This Row],[Utilidad ]]/Operaciones[[#This Row],[Valor FOB]]</f>
        <v>0.33333333333333331</v>
      </c>
    </row>
    <row r="5" spans="2:19" x14ac:dyDescent="0.3">
      <c r="B5" s="8" t="s">
        <v>12</v>
      </c>
      <c r="C5" s="7">
        <v>46034</v>
      </c>
      <c r="D5" s="1" t="s">
        <v>13</v>
      </c>
      <c r="E5" s="5" t="s">
        <v>14</v>
      </c>
      <c r="F5" s="5" t="str">
        <f>VLOOKUP(Operaciones[[#This Row],[Código Producto]],Producto[#All],2,0)</f>
        <v>Café especial</v>
      </c>
      <c r="G5" s="5" t="str">
        <f>VLOOKUP(Operaciones[[#This Row],[Código Producto]],Producto[#All],3,0)</f>
        <v>Café</v>
      </c>
      <c r="H5" s="1" t="s">
        <v>15</v>
      </c>
      <c r="I5" s="1" t="str">
        <f>VLOOKUP(Operaciones[[#This Row],[Pais Destino]],Mercado[#All],2,0)</f>
        <v>Norteamérica</v>
      </c>
      <c r="J5" s="1">
        <f>VLOOKUP(Operaciones[[#This Row],[Pais Destino]],Mercado[],3,0)</f>
        <v>0.05</v>
      </c>
      <c r="K5" s="1" t="str">
        <f>VLOOKUP(Operaciones[[#This Row],[Pais Destino]],Mercado[#All],4,0)</f>
        <v>Estratégico</v>
      </c>
      <c r="L5" s="1">
        <v>1200</v>
      </c>
      <c r="M5" s="1">
        <v>6.5</v>
      </c>
      <c r="N5" s="1">
        <f>Operaciones[[#This Row],[Unidades]]*Operaciones[[#This Row],[Precio FOB]]</f>
        <v>7800</v>
      </c>
      <c r="O5" s="1">
        <v>4.0999999999999996</v>
      </c>
      <c r="P5" s="23">
        <f>Operaciones[[#This Row],[Unidades]]*Operaciones[[#This Row],[Costo Unitario]]</f>
        <v>4920</v>
      </c>
      <c r="Q5" s="9" t="s">
        <v>16</v>
      </c>
      <c r="R5" s="1">
        <f>Operaciones[[#This Row],[Valor FOB]]-Operaciones[[#This Row],[Costo total]]</f>
        <v>2880</v>
      </c>
      <c r="S5" s="26">
        <f>Operaciones[[#This Row],[Utilidad ]]/Operaciones[[#This Row],[Valor FOB]]</f>
        <v>0.36923076923076925</v>
      </c>
    </row>
    <row r="6" spans="2:19" x14ac:dyDescent="0.3">
      <c r="B6" s="8" t="s">
        <v>17</v>
      </c>
      <c r="C6" s="7">
        <v>46042</v>
      </c>
      <c r="D6" s="1" t="s">
        <v>18</v>
      </c>
      <c r="E6" s="5" t="s">
        <v>19</v>
      </c>
      <c r="F6" s="5" t="str">
        <f>VLOOKUP(Operaciones[[#This Row],[Código Producto]],Producto[#All],2,0)</f>
        <v>Maní procesado</v>
      </c>
      <c r="G6" s="5" t="str">
        <f>VLOOKUP(Operaciones[[#This Row],[Código Producto]],Producto[#All],3,0)</f>
        <v>Semillas</v>
      </c>
      <c r="H6" s="1" t="s">
        <v>20</v>
      </c>
      <c r="I6" s="1" t="str">
        <f>VLOOKUP(Operaciones[[#This Row],[Pais Destino]],Mercado[#All],2,0)</f>
        <v>Centroamérica</v>
      </c>
      <c r="J6" s="1">
        <f>VLOOKUP(Operaciones[[#This Row],[Pais Destino]],Mercado[],3,0)</f>
        <v>0.02</v>
      </c>
      <c r="K6" s="1" t="str">
        <f>VLOOKUP(Operaciones[[#This Row],[Pais Destino]],Mercado[#All],4,0)</f>
        <v>Estratégico</v>
      </c>
      <c r="L6" s="1">
        <v>650</v>
      </c>
      <c r="M6" s="1">
        <v>8.1999999999999993</v>
      </c>
      <c r="N6" s="1">
        <f>Operaciones[[#This Row],[Unidades]]*Operaciones[[#This Row],[Precio FOB]]</f>
        <v>5329.9999999999991</v>
      </c>
      <c r="O6" s="1">
        <v>5.9</v>
      </c>
      <c r="P6" s="23">
        <f>Operaciones[[#This Row],[Unidades]]*Operaciones[[#This Row],[Costo Unitario]]</f>
        <v>3835.0000000000005</v>
      </c>
      <c r="Q6" s="9" t="s">
        <v>11</v>
      </c>
      <c r="R6" s="1">
        <f>Operaciones[[#This Row],[Valor FOB]]-Operaciones[[#This Row],[Costo total]]</f>
        <v>1494.9999999999986</v>
      </c>
      <c r="S6" s="26">
        <f>Operaciones[[#This Row],[Utilidad ]]/Operaciones[[#This Row],[Valor FOB]]</f>
        <v>0.28048780487804859</v>
      </c>
    </row>
    <row r="7" spans="2:19" x14ac:dyDescent="0.3">
      <c r="B7" s="8" t="s">
        <v>21</v>
      </c>
      <c r="C7" s="7">
        <v>46056</v>
      </c>
      <c r="D7" s="1" t="s">
        <v>22</v>
      </c>
      <c r="E7" s="5" t="s">
        <v>23</v>
      </c>
      <c r="F7" s="5" t="str">
        <f>VLOOKUP(Operaciones[[#This Row],[Código Producto]],Producto[#All],2,0)</f>
        <v>Cacao en grano</v>
      </c>
      <c r="G7" s="5" t="str">
        <f>VLOOKUP(Operaciones[[#This Row],[Código Producto]],Producto[#All],3,0)</f>
        <v>Cacao</v>
      </c>
      <c r="H7" s="1" t="s">
        <v>24</v>
      </c>
      <c r="I7" s="1" t="str">
        <f>VLOOKUP(Operaciones[[#This Row],[Pais Destino]],Mercado[#All],2,0)</f>
        <v>Europa</v>
      </c>
      <c r="J7" s="1">
        <f>VLOOKUP(Operaciones[[#This Row],[Pais Destino]],Mercado[],3,0)</f>
        <v>0.1</v>
      </c>
      <c r="K7" s="1" t="str">
        <f>VLOOKUP(Operaciones[[#This Row],[Pais Destino]],Mercado[#All],4,0)</f>
        <v>Potencial</v>
      </c>
      <c r="L7" s="1">
        <v>950</v>
      </c>
      <c r="M7" s="1">
        <v>7.1</v>
      </c>
      <c r="N7" s="1">
        <f>Operaciones[[#This Row],[Unidades]]*Operaciones[[#This Row],[Precio FOB]]</f>
        <v>6745</v>
      </c>
      <c r="O7" s="1">
        <v>4.8</v>
      </c>
      <c r="P7" s="23">
        <f>Operaciones[[#This Row],[Unidades]]*Operaciones[[#This Row],[Costo Unitario]]</f>
        <v>4560</v>
      </c>
      <c r="Q7" s="9" t="s">
        <v>25</v>
      </c>
      <c r="R7" s="1">
        <f>Operaciones[[#This Row],[Valor FOB]]-Operaciones[[#This Row],[Costo total]]</f>
        <v>2185</v>
      </c>
      <c r="S7" s="26">
        <f>Operaciones[[#This Row],[Utilidad ]]/Operaciones[[#This Row],[Valor FOB]]</f>
        <v>0.323943661971831</v>
      </c>
    </row>
    <row r="8" spans="2:19" x14ac:dyDescent="0.3">
      <c r="B8" s="8" t="s">
        <v>26</v>
      </c>
      <c r="C8" s="7">
        <v>46068</v>
      </c>
      <c r="D8" s="1" t="s">
        <v>27</v>
      </c>
      <c r="E8" s="5" t="s">
        <v>28</v>
      </c>
      <c r="F8" s="5" t="str">
        <f>VLOOKUP(Operaciones[[#This Row],[Código Producto]],Producto[#All],2,0)</f>
        <v>Aceite de ajonjolí</v>
      </c>
      <c r="G8" s="5" t="str">
        <f>VLOOKUP(Operaciones[[#This Row],[Código Producto]],Producto[#All],3,0)</f>
        <v>Aceites</v>
      </c>
      <c r="H8" s="1" t="s">
        <v>29</v>
      </c>
      <c r="I8" s="1" t="str">
        <f>VLOOKUP(Operaciones[[#This Row],[Pais Destino]],Mercado[#All],2,0)</f>
        <v>Norteamérica</v>
      </c>
      <c r="J8" s="1">
        <f>VLOOKUP(Operaciones[[#This Row],[Pais Destino]],Mercado[],3,0)</f>
        <v>0.08</v>
      </c>
      <c r="K8" s="1" t="str">
        <f>VLOOKUP(Operaciones[[#This Row],[Pais Destino]],Mercado[#All],4,0)</f>
        <v>Potencial</v>
      </c>
      <c r="L8" s="1">
        <v>500</v>
      </c>
      <c r="M8" s="1">
        <v>12.5</v>
      </c>
      <c r="N8" s="1">
        <f>Operaciones[[#This Row],[Unidades]]*Operaciones[[#This Row],[Precio FOB]]</f>
        <v>6250</v>
      </c>
      <c r="O8" s="1">
        <v>8.6999999999999993</v>
      </c>
      <c r="P8" s="23">
        <f>Operaciones[[#This Row],[Unidades]]*Operaciones[[#This Row],[Costo Unitario]]</f>
        <v>4350</v>
      </c>
      <c r="Q8" s="9" t="s">
        <v>16</v>
      </c>
      <c r="R8" s="1">
        <f>Operaciones[[#This Row],[Valor FOB]]-Operaciones[[#This Row],[Costo total]]</f>
        <v>1900</v>
      </c>
      <c r="S8" s="26">
        <f>Operaciones[[#This Row],[Utilidad ]]/Operaciones[[#This Row],[Valor FOB]]</f>
        <v>0.30399999999999999</v>
      </c>
    </row>
    <row r="9" spans="2:19" x14ac:dyDescent="0.3">
      <c r="B9" s="8" t="s">
        <v>30</v>
      </c>
      <c r="C9" s="7">
        <v>46081</v>
      </c>
      <c r="D9" s="1" t="s">
        <v>13</v>
      </c>
      <c r="E9" s="5" t="s">
        <v>9</v>
      </c>
      <c r="F9" s="5" t="str">
        <f>VLOOKUP(Operaciones[[#This Row],[Código Producto]],Producto[#All],2,0)</f>
        <v>Miel natural</v>
      </c>
      <c r="G9" s="5" t="str">
        <f>VLOOKUP(Operaciones[[#This Row],[Código Producto]],Producto[#All],3,0)</f>
        <v>Apícola</v>
      </c>
      <c r="H9" s="1" t="s">
        <v>15</v>
      </c>
      <c r="I9" s="1" t="str">
        <f>VLOOKUP(Operaciones[[#This Row],[Pais Destino]],Mercado[#All],2,0)</f>
        <v>Norteamérica</v>
      </c>
      <c r="J9" s="1">
        <f>VLOOKUP(Operaciones[[#This Row],[Pais Destino]],Mercado[],3,0)</f>
        <v>0.05</v>
      </c>
      <c r="K9" s="1" t="str">
        <f>VLOOKUP(Operaciones[[#This Row],[Pais Destino]],Mercado[#All],4,0)</f>
        <v>Estratégico</v>
      </c>
      <c r="L9" s="1">
        <v>1400</v>
      </c>
      <c r="M9" s="1">
        <v>4.8</v>
      </c>
      <c r="N9" s="1">
        <f>Operaciones[[#This Row],[Unidades]]*Operaciones[[#This Row],[Precio FOB]]</f>
        <v>6720</v>
      </c>
      <c r="O9" s="1">
        <v>3.2</v>
      </c>
      <c r="P9" s="23">
        <f>Operaciones[[#This Row],[Unidades]]*Operaciones[[#This Row],[Costo Unitario]]</f>
        <v>4480</v>
      </c>
      <c r="Q9" s="9" t="s">
        <v>16</v>
      </c>
      <c r="R9" s="1">
        <f>Operaciones[[#This Row],[Valor FOB]]-Operaciones[[#This Row],[Costo total]]</f>
        <v>2240</v>
      </c>
      <c r="S9" s="26">
        <f>Operaciones[[#This Row],[Utilidad ]]/Operaciones[[#This Row],[Valor FOB]]</f>
        <v>0.33333333333333331</v>
      </c>
    </row>
    <row r="10" spans="2:19" x14ac:dyDescent="0.3">
      <c r="B10" s="8" t="s">
        <v>31</v>
      </c>
      <c r="C10" s="7">
        <v>46089</v>
      </c>
      <c r="D10" s="1" t="s">
        <v>18</v>
      </c>
      <c r="E10" s="5" t="s">
        <v>14</v>
      </c>
      <c r="F10" s="5" t="str">
        <f>VLOOKUP(Operaciones[[#This Row],[Código Producto]],Producto[#All],2,0)</f>
        <v>Café especial</v>
      </c>
      <c r="G10" s="5" t="str">
        <f>VLOOKUP(Operaciones[[#This Row],[Código Producto]],Producto[#All],3,0)</f>
        <v>Café</v>
      </c>
      <c r="H10" s="1" t="s">
        <v>20</v>
      </c>
      <c r="I10" s="1" t="str">
        <f>VLOOKUP(Operaciones[[#This Row],[Pais Destino]],Mercado[#All],2,0)</f>
        <v>Centroamérica</v>
      </c>
      <c r="J10" s="1">
        <f>VLOOKUP(Operaciones[[#This Row],[Pais Destino]],Mercado[],3,0)</f>
        <v>0.02</v>
      </c>
      <c r="K10" s="1" t="str">
        <f>VLOOKUP(Operaciones[[#This Row],[Pais Destino]],Mercado[#All],4,0)</f>
        <v>Estratégico</v>
      </c>
      <c r="L10" s="1">
        <v>900</v>
      </c>
      <c r="M10" s="1">
        <v>6.5</v>
      </c>
      <c r="N10" s="1">
        <f>Operaciones[[#This Row],[Unidades]]*Operaciones[[#This Row],[Precio FOB]]</f>
        <v>5850</v>
      </c>
      <c r="O10" s="1">
        <v>4.0999999999999996</v>
      </c>
      <c r="P10" s="23">
        <f>Operaciones[[#This Row],[Unidades]]*Operaciones[[#This Row],[Costo Unitario]]</f>
        <v>3689.9999999999995</v>
      </c>
      <c r="Q10" s="9" t="s">
        <v>11</v>
      </c>
      <c r="R10" s="1">
        <f>Operaciones[[#This Row],[Valor FOB]]-Operaciones[[#This Row],[Costo total]]</f>
        <v>2160.0000000000005</v>
      </c>
      <c r="S10" s="26">
        <f>Operaciones[[#This Row],[Utilidad ]]/Operaciones[[#This Row],[Valor FOB]]</f>
        <v>0.36923076923076931</v>
      </c>
    </row>
    <row r="11" spans="2:19" x14ac:dyDescent="0.3">
      <c r="B11" s="8" t="s">
        <v>32</v>
      </c>
      <c r="C11" s="7">
        <v>46099</v>
      </c>
      <c r="D11" s="1" t="s">
        <v>8</v>
      </c>
      <c r="E11" s="5" t="s">
        <v>19</v>
      </c>
      <c r="F11" s="5" t="str">
        <f>VLOOKUP(Operaciones[[#This Row],[Código Producto]],Producto[#All],2,0)</f>
        <v>Maní procesado</v>
      </c>
      <c r="G11" s="5" t="str">
        <f>VLOOKUP(Operaciones[[#This Row],[Código Producto]],Producto[#All],3,0)</f>
        <v>Semillas</v>
      </c>
      <c r="H11" s="1" t="s">
        <v>10</v>
      </c>
      <c r="I11" s="1" t="str">
        <f>VLOOKUP(Operaciones[[#This Row],[Pais Destino]],Mercado[#All],2,0)</f>
        <v>Centroamérica</v>
      </c>
      <c r="J11" s="1">
        <f>VLOOKUP(Operaciones[[#This Row],[Pais Destino]],Mercado[],3,0)</f>
        <v>0.03</v>
      </c>
      <c r="K11" s="1" t="str">
        <f>VLOOKUP(Operaciones[[#This Row],[Pais Destino]],Mercado[#All],4,0)</f>
        <v>Estratégico</v>
      </c>
      <c r="L11" s="1">
        <v>750</v>
      </c>
      <c r="M11" s="1">
        <v>8.1999999999999993</v>
      </c>
      <c r="N11" s="1">
        <f>Operaciones[[#This Row],[Unidades]]*Operaciones[[#This Row],[Precio FOB]]</f>
        <v>6149.9999999999991</v>
      </c>
      <c r="O11" s="1">
        <v>5.9</v>
      </c>
      <c r="P11" s="23">
        <f>Operaciones[[#This Row],[Unidades]]*Operaciones[[#This Row],[Costo Unitario]]</f>
        <v>4425</v>
      </c>
      <c r="Q11" s="9" t="s">
        <v>16</v>
      </c>
      <c r="R11" s="1">
        <f>Operaciones[[#This Row],[Valor FOB]]-Operaciones[[#This Row],[Costo total]]</f>
        <v>1724.9999999999991</v>
      </c>
      <c r="S11" s="26">
        <f>Operaciones[[#This Row],[Utilidad ]]/Operaciones[[#This Row],[Valor FOB]]</f>
        <v>0.2804878048780487</v>
      </c>
    </row>
    <row r="12" spans="2:19" x14ac:dyDescent="0.3">
      <c r="B12" s="8" t="s">
        <v>58</v>
      </c>
      <c r="C12" s="7">
        <v>46106</v>
      </c>
      <c r="D12" s="1" t="s">
        <v>22</v>
      </c>
      <c r="E12" s="5" t="s">
        <v>28</v>
      </c>
      <c r="F12" s="5" t="str">
        <f>VLOOKUP(Operaciones[[#This Row],[Código Producto]],Producto[#All],2,0)</f>
        <v>Aceite de ajonjolí</v>
      </c>
      <c r="G12" s="5" t="str">
        <f>VLOOKUP(Operaciones[[#This Row],[Código Producto]],Producto[#All],3,0)</f>
        <v>Aceites</v>
      </c>
      <c r="H12" s="1" t="s">
        <v>24</v>
      </c>
      <c r="I12" s="1" t="str">
        <f>VLOOKUP(Operaciones[[#This Row],[Pais Destino]],Mercado[#All],2,0)</f>
        <v>Europa</v>
      </c>
      <c r="J12" s="1">
        <f>VLOOKUP(Operaciones[[#This Row],[Pais Destino]],Mercado[],3,0)</f>
        <v>0.1</v>
      </c>
      <c r="K12" s="1" t="str">
        <f>VLOOKUP(Operaciones[[#This Row],[Pais Destino]],Mercado[#All],4,0)</f>
        <v>Potencial</v>
      </c>
      <c r="L12" s="1">
        <v>600</v>
      </c>
      <c r="M12" s="1">
        <v>12.5</v>
      </c>
      <c r="N12" s="1">
        <f>Operaciones[[#This Row],[Unidades]]*Operaciones[[#This Row],[Precio FOB]]</f>
        <v>7500</v>
      </c>
      <c r="O12" s="1">
        <v>8.6999999999999993</v>
      </c>
      <c r="P12" s="23">
        <f>Operaciones[[#This Row],[Unidades]]*Operaciones[[#This Row],[Costo Unitario]]</f>
        <v>5220</v>
      </c>
      <c r="Q12" s="9" t="s">
        <v>11</v>
      </c>
      <c r="R12" s="1">
        <f>Operaciones[[#This Row],[Valor FOB]]-Operaciones[[#This Row],[Costo total]]</f>
        <v>2280</v>
      </c>
      <c r="S12" s="26">
        <f>Operaciones[[#This Row],[Utilidad ]]/Operaciones[[#This Row],[Valor FOB]]</f>
        <v>0.30399999999999999</v>
      </c>
    </row>
    <row r="13" spans="2:19" x14ac:dyDescent="0.3">
      <c r="B13" s="8" t="s">
        <v>59</v>
      </c>
      <c r="C13" s="7">
        <v>46114</v>
      </c>
      <c r="D13" s="1" t="s">
        <v>27</v>
      </c>
      <c r="E13" s="5" t="s">
        <v>23</v>
      </c>
      <c r="F13" s="5" t="str">
        <f>VLOOKUP(Operaciones[[#This Row],[Código Producto]],Producto[#All],2,0)</f>
        <v>Cacao en grano</v>
      </c>
      <c r="G13" s="5" t="str">
        <f>VLOOKUP(Operaciones[[#This Row],[Código Producto]],Producto[#All],3,0)</f>
        <v>Cacao</v>
      </c>
      <c r="H13" s="1" t="s">
        <v>29</v>
      </c>
      <c r="I13" s="1" t="str">
        <f>VLOOKUP(Operaciones[[#This Row],[Pais Destino]],Mercado[#All],2,0)</f>
        <v>Norteamérica</v>
      </c>
      <c r="J13" s="1">
        <f>VLOOKUP(Operaciones[[#This Row],[Pais Destino]],Mercado[],3,0)</f>
        <v>0.08</v>
      </c>
      <c r="K13" s="1" t="str">
        <f>VLOOKUP(Operaciones[[#This Row],[Pais Destino]],Mercado[#All],4,0)</f>
        <v>Potencial</v>
      </c>
      <c r="L13" s="1">
        <v>1100</v>
      </c>
      <c r="M13" s="1">
        <v>7.1</v>
      </c>
      <c r="N13" s="1">
        <f>Operaciones[[#This Row],[Unidades]]*Operaciones[[#This Row],[Precio FOB]]</f>
        <v>7810</v>
      </c>
      <c r="O13" s="1">
        <v>4.8</v>
      </c>
      <c r="P13" s="23">
        <f>Operaciones[[#This Row],[Unidades]]*Operaciones[[#This Row],[Costo Unitario]]</f>
        <v>5280</v>
      </c>
      <c r="Q13" s="9" t="s">
        <v>16</v>
      </c>
      <c r="R13" s="1">
        <f>Operaciones[[#This Row],[Valor FOB]]-Operaciones[[#This Row],[Costo total]]</f>
        <v>2530</v>
      </c>
      <c r="S13" s="26">
        <f>Operaciones[[#This Row],[Utilidad ]]/Operaciones[[#This Row],[Valor FOB]]</f>
        <v>0.323943661971831</v>
      </c>
    </row>
    <row r="14" spans="2:19" x14ac:dyDescent="0.3">
      <c r="B14" s="8" t="s">
        <v>60</v>
      </c>
      <c r="C14" s="7">
        <v>46122</v>
      </c>
      <c r="D14" s="1" t="s">
        <v>13</v>
      </c>
      <c r="E14" s="5" t="s">
        <v>19</v>
      </c>
      <c r="F14" s="5" t="str">
        <f>VLOOKUP(Operaciones[[#This Row],[Código Producto]],Producto[#All],2,0)</f>
        <v>Maní procesado</v>
      </c>
      <c r="G14" s="5" t="str">
        <f>VLOOKUP(Operaciones[[#This Row],[Código Producto]],Producto[#All],3,0)</f>
        <v>Semillas</v>
      </c>
      <c r="H14" s="1" t="s">
        <v>15</v>
      </c>
      <c r="I14" s="1" t="str">
        <f>VLOOKUP(Operaciones[[#This Row],[Pais Destino]],Mercado[#All],2,0)</f>
        <v>Norteamérica</v>
      </c>
      <c r="J14" s="1">
        <f>VLOOKUP(Operaciones[[#This Row],[Pais Destino]],Mercado[],3,0)</f>
        <v>0.05</v>
      </c>
      <c r="K14" s="1" t="str">
        <f>VLOOKUP(Operaciones[[#This Row],[Pais Destino]],Mercado[#All],4,0)</f>
        <v>Estratégico</v>
      </c>
      <c r="L14" s="1">
        <v>1300</v>
      </c>
      <c r="M14" s="1">
        <v>8.1999999999999993</v>
      </c>
      <c r="N14" s="1">
        <f>Operaciones[[#This Row],[Unidades]]*Operaciones[[#This Row],[Precio FOB]]</f>
        <v>10659.999999999998</v>
      </c>
      <c r="O14" s="1">
        <v>5.9</v>
      </c>
      <c r="P14" s="23">
        <f>Operaciones[[#This Row],[Unidades]]*Operaciones[[#This Row],[Costo Unitario]]</f>
        <v>7670.0000000000009</v>
      </c>
      <c r="Q14" s="9" t="s">
        <v>16</v>
      </c>
      <c r="R14" s="1">
        <f>Operaciones[[#This Row],[Valor FOB]]-Operaciones[[#This Row],[Costo total]]</f>
        <v>2989.9999999999973</v>
      </c>
      <c r="S14" s="26">
        <f>Operaciones[[#This Row],[Utilidad ]]/Operaciones[[#This Row],[Valor FOB]]</f>
        <v>0.28048780487804859</v>
      </c>
    </row>
    <row r="15" spans="2:19" x14ac:dyDescent="0.3">
      <c r="B15" s="8" t="s">
        <v>61</v>
      </c>
      <c r="C15" s="7">
        <v>46130</v>
      </c>
      <c r="D15" s="1" t="s">
        <v>8</v>
      </c>
      <c r="E15" s="5" t="s">
        <v>14</v>
      </c>
      <c r="F15" s="5" t="str">
        <f>VLOOKUP(Operaciones[[#This Row],[Código Producto]],Producto[#All],2,0)</f>
        <v>Café especial</v>
      </c>
      <c r="G15" s="5" t="str">
        <f>VLOOKUP(Operaciones[[#This Row],[Código Producto]],Producto[#All],3,0)</f>
        <v>Café</v>
      </c>
      <c r="H15" s="1" t="s">
        <v>10</v>
      </c>
      <c r="I15" s="1" t="str">
        <f>VLOOKUP(Operaciones[[#This Row],[Pais Destino]],Mercado[#All],2,0)</f>
        <v>Centroamérica</v>
      </c>
      <c r="J15" s="1">
        <f>VLOOKUP(Operaciones[[#This Row],[Pais Destino]],Mercado[],3,0)</f>
        <v>0.03</v>
      </c>
      <c r="K15" s="1" t="str">
        <f>VLOOKUP(Operaciones[[#This Row],[Pais Destino]],Mercado[#All],4,0)</f>
        <v>Estratégico</v>
      </c>
      <c r="L15" s="1">
        <v>700</v>
      </c>
      <c r="M15" s="1">
        <v>6.5</v>
      </c>
      <c r="N15" s="1">
        <f>Operaciones[[#This Row],[Unidades]]*Operaciones[[#This Row],[Precio FOB]]</f>
        <v>4550</v>
      </c>
      <c r="O15" s="1">
        <v>4.0999999999999996</v>
      </c>
      <c r="P15" s="23">
        <f>Operaciones[[#This Row],[Unidades]]*Operaciones[[#This Row],[Costo Unitario]]</f>
        <v>2869.9999999999995</v>
      </c>
      <c r="Q15" s="9" t="s">
        <v>25</v>
      </c>
      <c r="R15" s="1">
        <f>Operaciones[[#This Row],[Valor FOB]]-Operaciones[[#This Row],[Costo total]]</f>
        <v>1680.0000000000005</v>
      </c>
      <c r="S15" s="26">
        <f>Operaciones[[#This Row],[Utilidad ]]/Operaciones[[#This Row],[Valor FOB]]</f>
        <v>0.36923076923076931</v>
      </c>
    </row>
    <row r="16" spans="2:19" x14ac:dyDescent="0.3">
      <c r="B16" s="8" t="s">
        <v>62</v>
      </c>
      <c r="C16" s="7">
        <v>46139</v>
      </c>
      <c r="D16" s="1" t="s">
        <v>18</v>
      </c>
      <c r="E16" s="5" t="s">
        <v>28</v>
      </c>
      <c r="F16" s="5" t="str">
        <f>VLOOKUP(Operaciones[[#This Row],[Código Producto]],Producto[#All],2,0)</f>
        <v>Aceite de ajonjolí</v>
      </c>
      <c r="G16" s="5" t="str">
        <f>VLOOKUP(Operaciones[[#This Row],[Código Producto]],Producto[#All],3,0)</f>
        <v>Aceites</v>
      </c>
      <c r="H16" s="1" t="s">
        <v>20</v>
      </c>
      <c r="I16" s="1" t="str">
        <f>VLOOKUP(Operaciones[[#This Row],[Pais Destino]],Mercado[#All],2,0)</f>
        <v>Centroamérica</v>
      </c>
      <c r="J16" s="1">
        <f>VLOOKUP(Operaciones[[#This Row],[Pais Destino]],Mercado[],3,0)</f>
        <v>0.02</v>
      </c>
      <c r="K16" s="1" t="str">
        <f>VLOOKUP(Operaciones[[#This Row],[Pais Destino]],Mercado[#All],4,0)</f>
        <v>Estratégico</v>
      </c>
      <c r="L16" s="1">
        <v>450</v>
      </c>
      <c r="M16" s="1">
        <v>12.5</v>
      </c>
      <c r="N16" s="1">
        <f>Operaciones[[#This Row],[Unidades]]*Operaciones[[#This Row],[Precio FOB]]</f>
        <v>5625</v>
      </c>
      <c r="O16" s="1">
        <v>8.6999999999999993</v>
      </c>
      <c r="P16" s="23">
        <f>Operaciones[[#This Row],[Unidades]]*Operaciones[[#This Row],[Costo Unitario]]</f>
        <v>3914.9999999999995</v>
      </c>
      <c r="Q16" s="9" t="s">
        <v>11</v>
      </c>
      <c r="R16" s="1">
        <f>Operaciones[[#This Row],[Valor FOB]]-Operaciones[[#This Row],[Costo total]]</f>
        <v>1710.0000000000005</v>
      </c>
      <c r="S16" s="26">
        <f>Operaciones[[#This Row],[Utilidad ]]/Operaciones[[#This Row],[Valor FOB]]</f>
        <v>0.3040000000000001</v>
      </c>
    </row>
    <row r="17" spans="2:19" x14ac:dyDescent="0.3">
      <c r="B17" s="8" t="s">
        <v>63</v>
      </c>
      <c r="C17" s="7">
        <v>46147</v>
      </c>
      <c r="D17" s="1" t="s">
        <v>22</v>
      </c>
      <c r="E17" s="5" t="s">
        <v>9</v>
      </c>
      <c r="F17" s="5" t="str">
        <f>VLOOKUP(Operaciones[[#This Row],[Código Producto]],Producto[#All],2,0)</f>
        <v>Miel natural</v>
      </c>
      <c r="G17" s="5" t="str">
        <f>VLOOKUP(Operaciones[[#This Row],[Código Producto]],Producto[#All],3,0)</f>
        <v>Apícola</v>
      </c>
      <c r="H17" s="1" t="s">
        <v>24</v>
      </c>
      <c r="I17" s="1" t="str">
        <f>VLOOKUP(Operaciones[[#This Row],[Pais Destino]],Mercado[#All],2,0)</f>
        <v>Europa</v>
      </c>
      <c r="J17" s="1">
        <f>VLOOKUP(Operaciones[[#This Row],[Pais Destino]],Mercado[],3,0)</f>
        <v>0.1</v>
      </c>
      <c r="K17" s="1" t="str">
        <f>VLOOKUP(Operaciones[[#This Row],[Pais Destino]],Mercado[#All],4,0)</f>
        <v>Potencial</v>
      </c>
      <c r="L17" s="1">
        <v>1000</v>
      </c>
      <c r="M17" s="1">
        <v>4.8</v>
      </c>
      <c r="N17" s="1">
        <f>Operaciones[[#This Row],[Unidades]]*Operaciones[[#This Row],[Precio FOB]]</f>
        <v>4800</v>
      </c>
      <c r="O17" s="1">
        <v>3.2</v>
      </c>
      <c r="P17" s="23">
        <f>Operaciones[[#This Row],[Unidades]]*Operaciones[[#This Row],[Costo Unitario]]</f>
        <v>3200</v>
      </c>
      <c r="Q17" s="9" t="s">
        <v>16</v>
      </c>
      <c r="R17" s="1">
        <f>Operaciones[[#This Row],[Valor FOB]]-Operaciones[[#This Row],[Costo total]]</f>
        <v>1600</v>
      </c>
      <c r="S17" s="26">
        <f>Operaciones[[#This Row],[Utilidad ]]/Operaciones[[#This Row],[Valor FOB]]</f>
        <v>0.33333333333333331</v>
      </c>
    </row>
    <row r="18" spans="2:19" x14ac:dyDescent="0.3">
      <c r="B18" s="8" t="s">
        <v>64</v>
      </c>
      <c r="C18" s="7">
        <v>46156</v>
      </c>
      <c r="D18" s="1" t="s">
        <v>27</v>
      </c>
      <c r="E18" s="5" t="s">
        <v>14</v>
      </c>
      <c r="F18" s="5" t="str">
        <f>VLOOKUP(Operaciones[[#This Row],[Código Producto]],Producto[#All],2,0)</f>
        <v>Café especial</v>
      </c>
      <c r="G18" s="5" t="str">
        <f>VLOOKUP(Operaciones[[#This Row],[Código Producto]],Producto[#All],3,0)</f>
        <v>Café</v>
      </c>
      <c r="H18" s="1" t="s">
        <v>29</v>
      </c>
      <c r="I18" s="1" t="str">
        <f>VLOOKUP(Operaciones[[#This Row],[Pais Destino]],Mercado[#All],2,0)</f>
        <v>Norteamérica</v>
      </c>
      <c r="J18" s="1">
        <f>VLOOKUP(Operaciones[[#This Row],[Pais Destino]],Mercado[],3,0)</f>
        <v>0.08</v>
      </c>
      <c r="K18" s="1" t="str">
        <f>VLOOKUP(Operaciones[[#This Row],[Pais Destino]],Mercado[#All],4,0)</f>
        <v>Potencial</v>
      </c>
      <c r="L18" s="1">
        <v>850</v>
      </c>
      <c r="M18" s="1">
        <v>6.5</v>
      </c>
      <c r="N18" s="1">
        <f>Operaciones[[#This Row],[Unidades]]*Operaciones[[#This Row],[Precio FOB]]</f>
        <v>5525</v>
      </c>
      <c r="O18" s="1">
        <v>4.0999999999999996</v>
      </c>
      <c r="P18" s="23">
        <f>Operaciones[[#This Row],[Unidades]]*Operaciones[[#This Row],[Costo Unitario]]</f>
        <v>3484.9999999999995</v>
      </c>
      <c r="Q18" s="9" t="s">
        <v>11</v>
      </c>
      <c r="R18" s="1">
        <f>Operaciones[[#This Row],[Valor FOB]]-Operaciones[[#This Row],[Costo total]]</f>
        <v>2040.0000000000005</v>
      </c>
      <c r="S18" s="26">
        <f>Operaciones[[#This Row],[Utilidad ]]/Operaciones[[#This Row],[Valor FOB]]</f>
        <v>0.36923076923076931</v>
      </c>
    </row>
    <row r="19" spans="2:19" x14ac:dyDescent="0.3">
      <c r="B19" s="8" t="s">
        <v>65</v>
      </c>
      <c r="C19" s="7">
        <v>46164</v>
      </c>
      <c r="D19" s="1" t="s">
        <v>13</v>
      </c>
      <c r="E19" s="5" t="s">
        <v>23</v>
      </c>
      <c r="F19" s="5" t="str">
        <f>VLOOKUP(Operaciones[[#This Row],[Código Producto]],Producto[#All],2,0)</f>
        <v>Cacao en grano</v>
      </c>
      <c r="G19" s="5" t="str">
        <f>VLOOKUP(Operaciones[[#This Row],[Código Producto]],Producto[#All],3,0)</f>
        <v>Cacao</v>
      </c>
      <c r="H19" s="1" t="s">
        <v>15</v>
      </c>
      <c r="I19" s="1" t="str">
        <f>VLOOKUP(Operaciones[[#This Row],[Pais Destino]],Mercado[#All],2,0)</f>
        <v>Norteamérica</v>
      </c>
      <c r="J19" s="1">
        <f>VLOOKUP(Operaciones[[#This Row],[Pais Destino]],Mercado[],3,0)</f>
        <v>0.05</v>
      </c>
      <c r="K19" s="1" t="str">
        <f>VLOOKUP(Operaciones[[#This Row],[Pais Destino]],Mercado[#All],4,0)</f>
        <v>Estratégico</v>
      </c>
      <c r="L19" s="1">
        <v>1250</v>
      </c>
      <c r="M19" s="1">
        <v>7.1</v>
      </c>
      <c r="N19" s="1">
        <f>Operaciones[[#This Row],[Unidades]]*Operaciones[[#This Row],[Precio FOB]]</f>
        <v>8875</v>
      </c>
      <c r="O19" s="1">
        <v>4.8</v>
      </c>
      <c r="P19" s="23">
        <f>Operaciones[[#This Row],[Unidades]]*Operaciones[[#This Row],[Costo Unitario]]</f>
        <v>6000</v>
      </c>
      <c r="Q19" s="9" t="s">
        <v>16</v>
      </c>
      <c r="R19" s="1">
        <f>Operaciones[[#This Row],[Valor FOB]]-Operaciones[[#This Row],[Costo total]]</f>
        <v>2875</v>
      </c>
      <c r="S19" s="26">
        <f>Operaciones[[#This Row],[Utilidad ]]/Operaciones[[#This Row],[Valor FOB]]</f>
        <v>0.323943661971831</v>
      </c>
    </row>
    <row r="20" spans="2:19" x14ac:dyDescent="0.3">
      <c r="B20" s="8" t="s">
        <v>66</v>
      </c>
      <c r="C20" s="7">
        <v>46172</v>
      </c>
      <c r="D20" s="1" t="s">
        <v>8</v>
      </c>
      <c r="E20" s="5" t="s">
        <v>28</v>
      </c>
      <c r="F20" s="5" t="str">
        <f>VLOOKUP(Operaciones[[#This Row],[Código Producto]],Producto[#All],2,0)</f>
        <v>Aceite de ajonjolí</v>
      </c>
      <c r="G20" s="5" t="str">
        <f>VLOOKUP(Operaciones[[#This Row],[Código Producto]],Producto[#All],3,0)</f>
        <v>Aceites</v>
      </c>
      <c r="H20" s="1" t="s">
        <v>10</v>
      </c>
      <c r="I20" s="1" t="str">
        <f>VLOOKUP(Operaciones[[#This Row],[Pais Destino]],Mercado[#All],2,0)</f>
        <v>Centroamérica</v>
      </c>
      <c r="J20" s="1">
        <f>VLOOKUP(Operaciones[[#This Row],[Pais Destino]],Mercado[],3,0)</f>
        <v>0.03</v>
      </c>
      <c r="K20" s="1" t="str">
        <f>VLOOKUP(Operaciones[[#This Row],[Pais Destino]],Mercado[#All],4,0)</f>
        <v>Estratégico</v>
      </c>
      <c r="L20" s="1">
        <v>550</v>
      </c>
      <c r="M20" s="1">
        <v>12.5</v>
      </c>
      <c r="N20" s="1">
        <f>Operaciones[[#This Row],[Unidades]]*Operaciones[[#This Row],[Precio FOB]]</f>
        <v>6875</v>
      </c>
      <c r="O20" s="1">
        <v>8.6999999999999993</v>
      </c>
      <c r="P20" s="23">
        <f>Operaciones[[#This Row],[Unidades]]*Operaciones[[#This Row],[Costo Unitario]]</f>
        <v>4785</v>
      </c>
      <c r="Q20" s="9" t="s">
        <v>11</v>
      </c>
      <c r="R20" s="1">
        <f>Operaciones[[#This Row],[Valor FOB]]-Operaciones[[#This Row],[Costo total]]</f>
        <v>2090</v>
      </c>
      <c r="S20" s="26">
        <f>Operaciones[[#This Row],[Utilidad ]]/Operaciones[[#This Row],[Valor FOB]]</f>
        <v>0.30399999999999999</v>
      </c>
    </row>
    <row r="21" spans="2:19" x14ac:dyDescent="0.3">
      <c r="B21" s="8" t="s">
        <v>67</v>
      </c>
      <c r="C21" s="7">
        <v>46180</v>
      </c>
      <c r="D21" s="1" t="s">
        <v>18</v>
      </c>
      <c r="E21" s="5" t="s">
        <v>9</v>
      </c>
      <c r="F21" s="5" t="str">
        <f>VLOOKUP(Operaciones[[#This Row],[Código Producto]],Producto[#All],2,0)</f>
        <v>Miel natural</v>
      </c>
      <c r="G21" s="5" t="str">
        <f>VLOOKUP(Operaciones[[#This Row],[Código Producto]],Producto[#All],3,0)</f>
        <v>Apícola</v>
      </c>
      <c r="H21" s="1" t="s">
        <v>20</v>
      </c>
      <c r="I21" s="1" t="str">
        <f>VLOOKUP(Operaciones[[#This Row],[Pais Destino]],Mercado[#All],2,0)</f>
        <v>Centroamérica</v>
      </c>
      <c r="J21" s="1">
        <f>VLOOKUP(Operaciones[[#This Row],[Pais Destino]],Mercado[],3,0)</f>
        <v>0.02</v>
      </c>
      <c r="K21" s="1" t="str">
        <f>VLOOKUP(Operaciones[[#This Row],[Pais Destino]],Mercado[#All],4,0)</f>
        <v>Estratégico</v>
      </c>
      <c r="L21" s="1">
        <v>800</v>
      </c>
      <c r="M21" s="1">
        <v>4.8</v>
      </c>
      <c r="N21" s="1">
        <f>Operaciones[[#This Row],[Unidades]]*Operaciones[[#This Row],[Precio FOB]]</f>
        <v>3840</v>
      </c>
      <c r="O21" s="1">
        <v>3.2</v>
      </c>
      <c r="P21" s="23">
        <f>Operaciones[[#This Row],[Unidades]]*Operaciones[[#This Row],[Costo Unitario]]</f>
        <v>2560</v>
      </c>
      <c r="Q21" s="9" t="s">
        <v>16</v>
      </c>
      <c r="R21" s="1">
        <f>Operaciones[[#This Row],[Valor FOB]]-Operaciones[[#This Row],[Costo total]]</f>
        <v>1280</v>
      </c>
      <c r="S21" s="26">
        <f>Operaciones[[#This Row],[Utilidad ]]/Operaciones[[#This Row],[Valor FOB]]</f>
        <v>0.33333333333333331</v>
      </c>
    </row>
    <row r="22" spans="2:19" x14ac:dyDescent="0.3">
      <c r="B22" s="8" t="s">
        <v>68</v>
      </c>
      <c r="C22" s="7">
        <v>46189</v>
      </c>
      <c r="D22" s="1" t="s">
        <v>22</v>
      </c>
      <c r="E22" s="5" t="s">
        <v>19</v>
      </c>
      <c r="F22" s="5" t="str">
        <f>VLOOKUP(Operaciones[[#This Row],[Código Producto]],Producto[#All],2,0)</f>
        <v>Maní procesado</v>
      </c>
      <c r="G22" s="5" t="str">
        <f>VLOOKUP(Operaciones[[#This Row],[Código Producto]],Producto[#All],3,0)</f>
        <v>Semillas</v>
      </c>
      <c r="H22" s="1" t="s">
        <v>24</v>
      </c>
      <c r="I22" s="1" t="str">
        <f>VLOOKUP(Operaciones[[#This Row],[Pais Destino]],Mercado[#All],2,0)</f>
        <v>Europa</v>
      </c>
      <c r="J22" s="1">
        <f>VLOOKUP(Operaciones[[#This Row],[Pais Destino]],Mercado[],3,0)</f>
        <v>0.1</v>
      </c>
      <c r="K22" s="1" t="str">
        <f>VLOOKUP(Operaciones[[#This Row],[Pais Destino]],Mercado[#All],4,0)</f>
        <v>Potencial</v>
      </c>
      <c r="L22" s="1">
        <v>900</v>
      </c>
      <c r="M22" s="1">
        <v>8.1999999999999993</v>
      </c>
      <c r="N22" s="1">
        <f>Operaciones[[#This Row],[Unidades]]*Operaciones[[#This Row],[Precio FOB]]</f>
        <v>7379.9999999999991</v>
      </c>
      <c r="O22" s="1">
        <v>5.9</v>
      </c>
      <c r="P22" s="23">
        <f>Operaciones[[#This Row],[Unidades]]*Operaciones[[#This Row],[Costo Unitario]]</f>
        <v>5310</v>
      </c>
      <c r="Q22" s="9" t="s">
        <v>25</v>
      </c>
      <c r="R22" s="1">
        <f>Operaciones[[#This Row],[Valor FOB]]-Operaciones[[#This Row],[Costo total]]</f>
        <v>2069.9999999999991</v>
      </c>
      <c r="S22" s="26">
        <f>Operaciones[[#This Row],[Utilidad ]]/Operaciones[[#This Row],[Valor FOB]]</f>
        <v>0.2804878048780487</v>
      </c>
    </row>
    <row r="23" spans="2:19" x14ac:dyDescent="0.3">
      <c r="B23" s="8" t="s">
        <v>69</v>
      </c>
      <c r="C23" s="7">
        <v>46198</v>
      </c>
      <c r="D23" s="1" t="s">
        <v>27</v>
      </c>
      <c r="E23" s="5" t="s">
        <v>28</v>
      </c>
      <c r="F23" s="5" t="str">
        <f>VLOOKUP(Operaciones[[#This Row],[Código Producto]],Producto[#All],2,0)</f>
        <v>Aceite de ajonjolí</v>
      </c>
      <c r="G23" s="5" t="str">
        <f>VLOOKUP(Operaciones[[#This Row],[Código Producto]],Producto[#All],3,0)</f>
        <v>Aceites</v>
      </c>
      <c r="H23" s="1" t="s">
        <v>29</v>
      </c>
      <c r="I23" s="1" t="str">
        <f>VLOOKUP(Operaciones[[#This Row],[Pais Destino]],Mercado[#All],2,0)</f>
        <v>Norteamérica</v>
      </c>
      <c r="J23" s="1">
        <f>VLOOKUP(Operaciones[[#This Row],[Pais Destino]],Mercado[],3,0)</f>
        <v>0.08</v>
      </c>
      <c r="K23" s="1" t="str">
        <f>VLOOKUP(Operaciones[[#This Row],[Pais Destino]],Mercado[#All],4,0)</f>
        <v>Potencial</v>
      </c>
      <c r="L23" s="1">
        <v>650</v>
      </c>
      <c r="M23" s="1">
        <v>12.5</v>
      </c>
      <c r="N23" s="1">
        <f>Operaciones[[#This Row],[Unidades]]*Operaciones[[#This Row],[Precio FOB]]</f>
        <v>8125</v>
      </c>
      <c r="O23" s="1">
        <v>8.6999999999999993</v>
      </c>
      <c r="P23" s="23">
        <f>Operaciones[[#This Row],[Unidades]]*Operaciones[[#This Row],[Costo Unitario]]</f>
        <v>5654.9999999999991</v>
      </c>
      <c r="Q23" s="9" t="s">
        <v>16</v>
      </c>
      <c r="R23" s="1">
        <f>Operaciones[[#This Row],[Valor FOB]]-Operaciones[[#This Row],[Costo total]]</f>
        <v>2470.0000000000009</v>
      </c>
      <c r="S23" s="26">
        <f>Operaciones[[#This Row],[Utilidad ]]/Operaciones[[#This Row],[Valor FOB]]</f>
        <v>0.3040000000000001</v>
      </c>
    </row>
    <row r="24" spans="2:19" x14ac:dyDescent="0.3">
      <c r="B24" s="8" t="s">
        <v>70</v>
      </c>
      <c r="C24" s="7">
        <v>46206</v>
      </c>
      <c r="D24" s="1" t="s">
        <v>13</v>
      </c>
      <c r="E24" s="5" t="s">
        <v>14</v>
      </c>
      <c r="F24" s="5" t="str">
        <f>VLOOKUP(Operaciones[[#This Row],[Código Producto]],Producto[#All],2,0)</f>
        <v>Café especial</v>
      </c>
      <c r="G24" s="5" t="str">
        <f>VLOOKUP(Operaciones[[#This Row],[Código Producto]],Producto[#All],3,0)</f>
        <v>Café</v>
      </c>
      <c r="H24" s="1" t="s">
        <v>15</v>
      </c>
      <c r="I24" s="1" t="str">
        <f>VLOOKUP(Operaciones[[#This Row],[Pais Destino]],Mercado[#All],2,0)</f>
        <v>Norteamérica</v>
      </c>
      <c r="J24" s="1">
        <f>VLOOKUP(Operaciones[[#This Row],[Pais Destino]],Mercado[],3,0)</f>
        <v>0.05</v>
      </c>
      <c r="K24" s="1" t="str">
        <f>VLOOKUP(Operaciones[[#This Row],[Pais Destino]],Mercado[#All],4,0)</f>
        <v>Estratégico</v>
      </c>
      <c r="L24" s="1">
        <v>1500</v>
      </c>
      <c r="M24" s="1">
        <v>6.5</v>
      </c>
      <c r="N24" s="1">
        <f>Operaciones[[#This Row],[Unidades]]*Operaciones[[#This Row],[Precio FOB]]</f>
        <v>9750</v>
      </c>
      <c r="O24" s="1">
        <v>4.0999999999999996</v>
      </c>
      <c r="P24" s="23">
        <f>Operaciones[[#This Row],[Unidades]]*Operaciones[[#This Row],[Costo Unitario]]</f>
        <v>6149.9999999999991</v>
      </c>
      <c r="Q24" s="9" t="s">
        <v>11</v>
      </c>
      <c r="R24" s="1">
        <f>Operaciones[[#This Row],[Valor FOB]]-Operaciones[[#This Row],[Costo total]]</f>
        <v>3600.0000000000009</v>
      </c>
      <c r="S24" s="26">
        <f>Operaciones[[#This Row],[Utilidad ]]/Operaciones[[#This Row],[Valor FOB]]</f>
        <v>0.36923076923076931</v>
      </c>
    </row>
    <row r="25" spans="2:19" x14ac:dyDescent="0.3">
      <c r="B25" s="8" t="s">
        <v>71</v>
      </c>
      <c r="C25" s="7">
        <v>46214</v>
      </c>
      <c r="D25" s="1" t="s">
        <v>8</v>
      </c>
      <c r="E25" s="5" t="s">
        <v>23</v>
      </c>
      <c r="F25" s="5" t="str">
        <f>VLOOKUP(Operaciones[[#This Row],[Código Producto]],Producto[#All],2,0)</f>
        <v>Cacao en grano</v>
      </c>
      <c r="G25" s="5" t="str">
        <f>VLOOKUP(Operaciones[[#This Row],[Código Producto]],Producto[#All],3,0)</f>
        <v>Cacao</v>
      </c>
      <c r="H25" s="1" t="s">
        <v>10</v>
      </c>
      <c r="I25" s="1" t="str">
        <f>VLOOKUP(Operaciones[[#This Row],[Pais Destino]],Mercado[#All],2,0)</f>
        <v>Centroamérica</v>
      </c>
      <c r="J25" s="1">
        <f>VLOOKUP(Operaciones[[#This Row],[Pais Destino]],Mercado[],3,0)</f>
        <v>0.03</v>
      </c>
      <c r="K25" s="1" t="str">
        <f>VLOOKUP(Operaciones[[#This Row],[Pais Destino]],Mercado[#All],4,0)</f>
        <v>Estratégico</v>
      </c>
      <c r="L25" s="1">
        <v>1000</v>
      </c>
      <c r="M25" s="1">
        <v>7.1</v>
      </c>
      <c r="N25" s="1">
        <f>Operaciones[[#This Row],[Unidades]]*Operaciones[[#This Row],[Precio FOB]]</f>
        <v>7100</v>
      </c>
      <c r="O25" s="1">
        <v>4.8</v>
      </c>
      <c r="P25" s="23">
        <f>Operaciones[[#This Row],[Unidades]]*Operaciones[[#This Row],[Costo Unitario]]</f>
        <v>4800</v>
      </c>
      <c r="Q25" s="9" t="s">
        <v>16</v>
      </c>
      <c r="R25" s="1">
        <f>Operaciones[[#This Row],[Valor FOB]]-Operaciones[[#This Row],[Costo total]]</f>
        <v>2300</v>
      </c>
      <c r="S25" s="26">
        <f>Operaciones[[#This Row],[Utilidad ]]/Operaciones[[#This Row],[Valor FOB]]</f>
        <v>0.323943661971831</v>
      </c>
    </row>
    <row r="26" spans="2:19" x14ac:dyDescent="0.3">
      <c r="B26" s="8" t="s">
        <v>72</v>
      </c>
      <c r="C26" s="7">
        <v>46222</v>
      </c>
      <c r="D26" s="1" t="s">
        <v>18</v>
      </c>
      <c r="E26" s="5" t="s">
        <v>19</v>
      </c>
      <c r="F26" s="5" t="str">
        <f>VLOOKUP(Operaciones[[#This Row],[Código Producto]],Producto[#All],2,0)</f>
        <v>Maní procesado</v>
      </c>
      <c r="G26" s="5" t="str">
        <f>VLOOKUP(Operaciones[[#This Row],[Código Producto]],Producto[#All],3,0)</f>
        <v>Semillas</v>
      </c>
      <c r="H26" s="1" t="s">
        <v>20</v>
      </c>
      <c r="I26" s="1" t="str">
        <f>VLOOKUP(Operaciones[[#This Row],[Pais Destino]],Mercado[#All],2,0)</f>
        <v>Centroamérica</v>
      </c>
      <c r="J26" s="1">
        <f>VLOOKUP(Operaciones[[#This Row],[Pais Destino]],Mercado[],3,0)</f>
        <v>0.02</v>
      </c>
      <c r="K26" s="1" t="str">
        <f>VLOOKUP(Operaciones[[#This Row],[Pais Destino]],Mercado[#All],4,0)</f>
        <v>Estratégico</v>
      </c>
      <c r="L26" s="1">
        <v>720</v>
      </c>
      <c r="M26" s="1">
        <v>8.1999999999999993</v>
      </c>
      <c r="N26" s="1">
        <f>Operaciones[[#This Row],[Unidades]]*Operaciones[[#This Row],[Precio FOB]]</f>
        <v>5903.9999999999991</v>
      </c>
      <c r="O26" s="1">
        <v>5.9</v>
      </c>
      <c r="P26" s="23">
        <f>Operaciones[[#This Row],[Unidades]]*Operaciones[[#This Row],[Costo Unitario]]</f>
        <v>4248</v>
      </c>
      <c r="Q26" s="9" t="s">
        <v>11</v>
      </c>
      <c r="R26" s="1">
        <f>Operaciones[[#This Row],[Valor FOB]]-Operaciones[[#This Row],[Costo total]]</f>
        <v>1655.9999999999991</v>
      </c>
      <c r="S26" s="26">
        <f>Operaciones[[#This Row],[Utilidad ]]/Operaciones[[#This Row],[Valor FOB]]</f>
        <v>0.2804878048780487</v>
      </c>
    </row>
    <row r="27" spans="2:19" x14ac:dyDescent="0.3">
      <c r="B27" s="8" t="s">
        <v>73</v>
      </c>
      <c r="C27" s="7">
        <v>46231</v>
      </c>
      <c r="D27" s="1" t="s">
        <v>22</v>
      </c>
      <c r="E27" s="5" t="s">
        <v>9</v>
      </c>
      <c r="F27" s="5" t="str">
        <f>VLOOKUP(Operaciones[[#This Row],[Código Producto]],Producto[#All],2,0)</f>
        <v>Miel natural</v>
      </c>
      <c r="G27" s="5" t="str">
        <f>VLOOKUP(Operaciones[[#This Row],[Código Producto]],Producto[#All],3,0)</f>
        <v>Apícola</v>
      </c>
      <c r="H27" s="1" t="s">
        <v>24</v>
      </c>
      <c r="I27" s="1" t="str">
        <f>VLOOKUP(Operaciones[[#This Row],[Pais Destino]],Mercado[#All],2,0)</f>
        <v>Europa</v>
      </c>
      <c r="J27" s="1">
        <f>VLOOKUP(Operaciones[[#This Row],[Pais Destino]],Mercado[],3,0)</f>
        <v>0.1</v>
      </c>
      <c r="K27" s="1" t="str">
        <f>VLOOKUP(Operaciones[[#This Row],[Pais Destino]],Mercado[#All],4,0)</f>
        <v>Potencial</v>
      </c>
      <c r="L27" s="1">
        <v>1150</v>
      </c>
      <c r="M27" s="1">
        <v>4.8</v>
      </c>
      <c r="N27" s="1">
        <f>Operaciones[[#This Row],[Unidades]]*Operaciones[[#This Row],[Precio FOB]]</f>
        <v>5520</v>
      </c>
      <c r="O27" s="1">
        <v>3.2</v>
      </c>
      <c r="P27" s="23">
        <f>Operaciones[[#This Row],[Unidades]]*Operaciones[[#This Row],[Costo Unitario]]</f>
        <v>3680</v>
      </c>
      <c r="Q27" s="9" t="s">
        <v>16</v>
      </c>
      <c r="R27" s="1">
        <f>Operaciones[[#This Row],[Valor FOB]]-Operaciones[[#This Row],[Costo total]]</f>
        <v>1840</v>
      </c>
      <c r="S27" s="26">
        <f>Operaciones[[#This Row],[Utilidad ]]/Operaciones[[#This Row],[Valor FOB]]</f>
        <v>0.33333333333333331</v>
      </c>
    </row>
    <row r="28" spans="2:19" x14ac:dyDescent="0.3">
      <c r="B28" s="8" t="s">
        <v>74</v>
      </c>
      <c r="C28" s="7">
        <v>46239</v>
      </c>
      <c r="D28" s="1" t="s">
        <v>27</v>
      </c>
      <c r="E28" s="5" t="s">
        <v>14</v>
      </c>
      <c r="F28" s="5" t="str">
        <f>VLOOKUP(Operaciones[[#This Row],[Código Producto]],Producto[#All],2,0)</f>
        <v>Café especial</v>
      </c>
      <c r="G28" s="5" t="str">
        <f>VLOOKUP(Operaciones[[#This Row],[Código Producto]],Producto[#All],3,0)</f>
        <v>Café</v>
      </c>
      <c r="H28" s="1" t="s">
        <v>29</v>
      </c>
      <c r="I28" s="1" t="str">
        <f>VLOOKUP(Operaciones[[#This Row],[Pais Destino]],Mercado[#All],2,0)</f>
        <v>Norteamérica</v>
      </c>
      <c r="J28" s="1">
        <f>VLOOKUP(Operaciones[[#This Row],[Pais Destino]],Mercado[],3,0)</f>
        <v>0.08</v>
      </c>
      <c r="K28" s="1" t="str">
        <f>VLOOKUP(Operaciones[[#This Row],[Pais Destino]],Mercado[#All],4,0)</f>
        <v>Potencial</v>
      </c>
      <c r="L28" s="1">
        <v>950</v>
      </c>
      <c r="M28" s="1">
        <v>6.5</v>
      </c>
      <c r="N28" s="1">
        <f>Operaciones[[#This Row],[Unidades]]*Operaciones[[#This Row],[Precio FOB]]</f>
        <v>6175</v>
      </c>
      <c r="O28" s="1">
        <v>4.0999999999999996</v>
      </c>
      <c r="P28" s="23">
        <f>Operaciones[[#This Row],[Unidades]]*Operaciones[[#This Row],[Costo Unitario]]</f>
        <v>3894.9999999999995</v>
      </c>
      <c r="Q28" s="9" t="s">
        <v>25</v>
      </c>
      <c r="R28" s="1">
        <f>Operaciones[[#This Row],[Valor FOB]]-Operaciones[[#This Row],[Costo total]]</f>
        <v>2280.0000000000005</v>
      </c>
      <c r="S28" s="26">
        <f>Operaciones[[#This Row],[Utilidad ]]/Operaciones[[#This Row],[Valor FOB]]</f>
        <v>0.36923076923076931</v>
      </c>
    </row>
    <row r="29" spans="2:19" x14ac:dyDescent="0.3">
      <c r="B29" s="8" t="s">
        <v>75</v>
      </c>
      <c r="C29" s="7">
        <v>46247</v>
      </c>
      <c r="D29" s="1" t="s">
        <v>13</v>
      </c>
      <c r="E29" s="5" t="s">
        <v>28</v>
      </c>
      <c r="F29" s="5" t="str">
        <f>VLOOKUP(Operaciones[[#This Row],[Código Producto]],Producto[#All],2,0)</f>
        <v>Aceite de ajonjolí</v>
      </c>
      <c r="G29" s="5" t="str">
        <f>VLOOKUP(Operaciones[[#This Row],[Código Producto]],Producto[#All],3,0)</f>
        <v>Aceites</v>
      </c>
      <c r="H29" s="1" t="s">
        <v>15</v>
      </c>
      <c r="I29" s="1" t="str">
        <f>VLOOKUP(Operaciones[[#This Row],[Pais Destino]],Mercado[#All],2,0)</f>
        <v>Norteamérica</v>
      </c>
      <c r="J29" s="1">
        <f>VLOOKUP(Operaciones[[#This Row],[Pais Destino]],Mercado[],3,0)</f>
        <v>0.05</v>
      </c>
      <c r="K29" s="1" t="str">
        <f>VLOOKUP(Operaciones[[#This Row],[Pais Destino]],Mercado[#All],4,0)</f>
        <v>Estratégico</v>
      </c>
      <c r="L29" s="1">
        <v>700</v>
      </c>
      <c r="M29" s="1">
        <v>12.5</v>
      </c>
      <c r="N29" s="1">
        <f>Operaciones[[#This Row],[Unidades]]*Operaciones[[#This Row],[Precio FOB]]</f>
        <v>8750</v>
      </c>
      <c r="O29" s="1">
        <v>8.6999999999999993</v>
      </c>
      <c r="P29" s="23">
        <f>Operaciones[[#This Row],[Unidades]]*Operaciones[[#This Row],[Costo Unitario]]</f>
        <v>6089.9999999999991</v>
      </c>
      <c r="Q29" s="9" t="s">
        <v>16</v>
      </c>
      <c r="R29" s="1">
        <f>Operaciones[[#This Row],[Valor FOB]]-Operaciones[[#This Row],[Costo total]]</f>
        <v>2660.0000000000009</v>
      </c>
      <c r="S29" s="26">
        <f>Operaciones[[#This Row],[Utilidad ]]/Operaciones[[#This Row],[Valor FOB]]</f>
        <v>0.3040000000000001</v>
      </c>
    </row>
    <row r="30" spans="2:19" x14ac:dyDescent="0.3">
      <c r="B30" s="8" t="s">
        <v>76</v>
      </c>
      <c r="C30" s="7">
        <v>46255</v>
      </c>
      <c r="D30" s="1" t="s">
        <v>8</v>
      </c>
      <c r="E30" s="5" t="s">
        <v>9</v>
      </c>
      <c r="F30" s="5" t="str">
        <f>VLOOKUP(Operaciones[[#This Row],[Código Producto]],Producto[#All],2,0)</f>
        <v>Miel natural</v>
      </c>
      <c r="G30" s="5" t="str">
        <f>VLOOKUP(Operaciones[[#This Row],[Código Producto]],Producto[#All],3,0)</f>
        <v>Apícola</v>
      </c>
      <c r="H30" s="1" t="s">
        <v>10</v>
      </c>
      <c r="I30" s="1" t="str">
        <f>VLOOKUP(Operaciones[[#This Row],[Pais Destino]],Mercado[#All],2,0)</f>
        <v>Centroamérica</v>
      </c>
      <c r="J30" s="1">
        <f>VLOOKUP(Operaciones[[#This Row],[Pais Destino]],Mercado[],3,0)</f>
        <v>0.03</v>
      </c>
      <c r="K30" s="1" t="str">
        <f>VLOOKUP(Operaciones[[#This Row],[Pais Destino]],Mercado[#All],4,0)</f>
        <v>Estratégico</v>
      </c>
      <c r="L30" s="1">
        <v>1050</v>
      </c>
      <c r="M30" s="1">
        <v>4.8</v>
      </c>
      <c r="N30" s="1">
        <f>Operaciones[[#This Row],[Unidades]]*Operaciones[[#This Row],[Precio FOB]]</f>
        <v>5040</v>
      </c>
      <c r="O30" s="1">
        <v>3.2</v>
      </c>
      <c r="P30" s="23">
        <f>Operaciones[[#This Row],[Unidades]]*Operaciones[[#This Row],[Costo Unitario]]</f>
        <v>3360</v>
      </c>
      <c r="Q30" s="9" t="s">
        <v>11</v>
      </c>
      <c r="R30" s="1">
        <f>Operaciones[[#This Row],[Valor FOB]]-Operaciones[[#This Row],[Costo total]]</f>
        <v>1680</v>
      </c>
      <c r="S30" s="26">
        <f>Operaciones[[#This Row],[Utilidad ]]/Operaciones[[#This Row],[Valor FOB]]</f>
        <v>0.33333333333333331</v>
      </c>
    </row>
    <row r="31" spans="2:19" x14ac:dyDescent="0.3">
      <c r="B31" s="8" t="s">
        <v>77</v>
      </c>
      <c r="C31" s="7">
        <v>46263</v>
      </c>
      <c r="D31" s="1" t="s">
        <v>18</v>
      </c>
      <c r="E31" s="5" t="s">
        <v>23</v>
      </c>
      <c r="F31" s="5" t="str">
        <f>VLOOKUP(Operaciones[[#This Row],[Código Producto]],Producto[#All],2,0)</f>
        <v>Cacao en grano</v>
      </c>
      <c r="G31" s="5" t="str">
        <f>VLOOKUP(Operaciones[[#This Row],[Código Producto]],Producto[#All],3,0)</f>
        <v>Cacao</v>
      </c>
      <c r="H31" s="1" t="s">
        <v>20</v>
      </c>
      <c r="I31" s="1" t="str">
        <f>VLOOKUP(Operaciones[[#This Row],[Pais Destino]],Mercado[#All],2,0)</f>
        <v>Centroamérica</v>
      </c>
      <c r="J31" s="1">
        <f>VLOOKUP(Operaciones[[#This Row],[Pais Destino]],Mercado[],3,0)</f>
        <v>0.02</v>
      </c>
      <c r="K31" s="1" t="str">
        <f>VLOOKUP(Operaciones[[#This Row],[Pais Destino]],Mercado[#All],4,0)</f>
        <v>Estratégico</v>
      </c>
      <c r="L31" s="1">
        <v>850</v>
      </c>
      <c r="M31" s="1">
        <v>7.1</v>
      </c>
      <c r="N31" s="1">
        <f>Operaciones[[#This Row],[Unidades]]*Operaciones[[#This Row],[Precio FOB]]</f>
        <v>6035</v>
      </c>
      <c r="O31" s="1">
        <v>4.8</v>
      </c>
      <c r="P31" s="23">
        <f>Operaciones[[#This Row],[Unidades]]*Operaciones[[#This Row],[Costo Unitario]]</f>
        <v>4080</v>
      </c>
      <c r="Q31" s="9" t="s">
        <v>16</v>
      </c>
      <c r="R31" s="1">
        <f>Operaciones[[#This Row],[Valor FOB]]-Operaciones[[#This Row],[Costo total]]</f>
        <v>1955</v>
      </c>
      <c r="S31" s="26">
        <f>Operaciones[[#This Row],[Utilidad ]]/Operaciones[[#This Row],[Valor FOB]]</f>
        <v>0.323943661971831</v>
      </c>
    </row>
    <row r="32" spans="2:19" x14ac:dyDescent="0.3">
      <c r="B32" s="8" t="s">
        <v>78</v>
      </c>
      <c r="C32" s="7">
        <v>46269</v>
      </c>
      <c r="D32" s="1" t="s">
        <v>22</v>
      </c>
      <c r="E32" s="5" t="s">
        <v>14</v>
      </c>
      <c r="F32" s="5" t="str">
        <f>VLOOKUP(Operaciones[[#This Row],[Código Producto]],Producto[#All],2,0)</f>
        <v>Café especial</v>
      </c>
      <c r="G32" s="5" t="str">
        <f>VLOOKUP(Operaciones[[#This Row],[Código Producto]],Producto[#All],3,0)</f>
        <v>Café</v>
      </c>
      <c r="H32" s="1" t="s">
        <v>24</v>
      </c>
      <c r="I32" s="1" t="str">
        <f>VLOOKUP(Operaciones[[#This Row],[Pais Destino]],Mercado[#All],2,0)</f>
        <v>Europa</v>
      </c>
      <c r="J32" s="1">
        <f>VLOOKUP(Operaciones[[#This Row],[Pais Destino]],Mercado[],3,0)</f>
        <v>0.1</v>
      </c>
      <c r="K32" s="1" t="str">
        <f>VLOOKUP(Operaciones[[#This Row],[Pais Destino]],Mercado[#All],4,0)</f>
        <v>Potencial</v>
      </c>
      <c r="L32" s="1">
        <v>1200</v>
      </c>
      <c r="M32" s="1">
        <v>6.5</v>
      </c>
      <c r="N32" s="1">
        <f>Operaciones[[#This Row],[Unidades]]*Operaciones[[#This Row],[Precio FOB]]</f>
        <v>7800</v>
      </c>
      <c r="O32" s="1">
        <v>4.0999999999999996</v>
      </c>
      <c r="P32" s="23">
        <f>Operaciones[[#This Row],[Unidades]]*Operaciones[[#This Row],[Costo Unitario]]</f>
        <v>4920</v>
      </c>
      <c r="Q32" s="9" t="s">
        <v>11</v>
      </c>
      <c r="R32" s="1">
        <f>Operaciones[[#This Row],[Valor FOB]]-Operaciones[[#This Row],[Costo total]]</f>
        <v>2880</v>
      </c>
      <c r="S32" s="26">
        <f>Operaciones[[#This Row],[Utilidad ]]/Operaciones[[#This Row],[Valor FOB]]</f>
        <v>0.36923076923076925</v>
      </c>
    </row>
    <row r="33" spans="2:19" x14ac:dyDescent="0.3">
      <c r="B33" s="8" t="s">
        <v>79</v>
      </c>
      <c r="C33" s="7">
        <v>46277</v>
      </c>
      <c r="D33" s="1" t="s">
        <v>27</v>
      </c>
      <c r="E33" s="5" t="s">
        <v>19</v>
      </c>
      <c r="F33" s="5" t="str">
        <f>VLOOKUP(Operaciones[[#This Row],[Código Producto]],Producto[#All],2,0)</f>
        <v>Maní procesado</v>
      </c>
      <c r="G33" s="5" t="str">
        <f>VLOOKUP(Operaciones[[#This Row],[Código Producto]],Producto[#All],3,0)</f>
        <v>Semillas</v>
      </c>
      <c r="H33" s="1" t="s">
        <v>29</v>
      </c>
      <c r="I33" s="1" t="str">
        <f>VLOOKUP(Operaciones[[#This Row],[Pais Destino]],Mercado[#All],2,0)</f>
        <v>Norteamérica</v>
      </c>
      <c r="J33" s="1">
        <f>VLOOKUP(Operaciones[[#This Row],[Pais Destino]],Mercado[],3,0)</f>
        <v>0.08</v>
      </c>
      <c r="K33" s="1" t="str">
        <f>VLOOKUP(Operaciones[[#This Row],[Pais Destino]],Mercado[#All],4,0)</f>
        <v>Potencial</v>
      </c>
      <c r="L33" s="1">
        <v>600</v>
      </c>
      <c r="M33" s="1">
        <v>8.1999999999999993</v>
      </c>
      <c r="N33" s="1">
        <f>Operaciones[[#This Row],[Unidades]]*Operaciones[[#This Row],[Precio FOB]]</f>
        <v>4920</v>
      </c>
      <c r="O33" s="1">
        <v>5.9</v>
      </c>
      <c r="P33" s="23">
        <f>Operaciones[[#This Row],[Unidades]]*Operaciones[[#This Row],[Costo Unitario]]</f>
        <v>3540</v>
      </c>
      <c r="Q33" s="9" t="s">
        <v>16</v>
      </c>
      <c r="R33" s="1">
        <f>Operaciones[[#This Row],[Valor FOB]]-Operaciones[[#This Row],[Costo total]]</f>
        <v>1380</v>
      </c>
      <c r="S33" s="26">
        <f>Operaciones[[#This Row],[Utilidad ]]/Operaciones[[#This Row],[Valor FOB]]</f>
        <v>0.28048780487804881</v>
      </c>
    </row>
    <row r="34" spans="2:19" x14ac:dyDescent="0.3">
      <c r="B34" s="8" t="s">
        <v>80</v>
      </c>
      <c r="C34" s="7">
        <v>46285</v>
      </c>
      <c r="D34" s="1" t="s">
        <v>13</v>
      </c>
      <c r="E34" s="5" t="s">
        <v>9</v>
      </c>
      <c r="F34" s="5" t="str">
        <f>VLOOKUP(Operaciones[[#This Row],[Código Producto]],Producto[#All],2,0)</f>
        <v>Miel natural</v>
      </c>
      <c r="G34" s="5" t="str">
        <f>VLOOKUP(Operaciones[[#This Row],[Código Producto]],Producto[#All],3,0)</f>
        <v>Apícola</v>
      </c>
      <c r="H34" s="1" t="s">
        <v>15</v>
      </c>
      <c r="I34" s="1" t="str">
        <f>VLOOKUP(Operaciones[[#This Row],[Pais Destino]],Mercado[#All],2,0)</f>
        <v>Norteamérica</v>
      </c>
      <c r="J34" s="1">
        <f>VLOOKUP(Operaciones[[#This Row],[Pais Destino]],Mercado[],3,0)</f>
        <v>0.05</v>
      </c>
      <c r="K34" s="1" t="str">
        <f>VLOOKUP(Operaciones[[#This Row],[Pais Destino]],Mercado[#All],4,0)</f>
        <v>Estratégico</v>
      </c>
      <c r="L34" s="1">
        <v>1350</v>
      </c>
      <c r="M34" s="1">
        <v>4.8</v>
      </c>
      <c r="N34" s="1">
        <f>Operaciones[[#This Row],[Unidades]]*Operaciones[[#This Row],[Precio FOB]]</f>
        <v>6480</v>
      </c>
      <c r="O34" s="1">
        <v>3.2</v>
      </c>
      <c r="P34" s="23">
        <f>Operaciones[[#This Row],[Unidades]]*Operaciones[[#This Row],[Costo Unitario]]</f>
        <v>4320</v>
      </c>
      <c r="Q34" s="9" t="s">
        <v>16</v>
      </c>
      <c r="R34" s="1">
        <f>Operaciones[[#This Row],[Valor FOB]]-Operaciones[[#This Row],[Costo total]]</f>
        <v>2160</v>
      </c>
      <c r="S34" s="26">
        <f>Operaciones[[#This Row],[Utilidad ]]/Operaciones[[#This Row],[Valor FOB]]</f>
        <v>0.33333333333333331</v>
      </c>
    </row>
    <row r="35" spans="2:19" x14ac:dyDescent="0.3">
      <c r="B35" s="8" t="s">
        <v>81</v>
      </c>
      <c r="C35" s="7">
        <v>46293</v>
      </c>
      <c r="D35" s="1" t="s">
        <v>8</v>
      </c>
      <c r="E35" s="5" t="s">
        <v>28</v>
      </c>
      <c r="F35" s="5" t="str">
        <f>VLOOKUP(Operaciones[[#This Row],[Código Producto]],Producto[#All],2,0)</f>
        <v>Aceite de ajonjolí</v>
      </c>
      <c r="G35" s="5" t="str">
        <f>VLOOKUP(Operaciones[[#This Row],[Código Producto]],Producto[#All],3,0)</f>
        <v>Aceites</v>
      </c>
      <c r="H35" s="1" t="s">
        <v>10</v>
      </c>
      <c r="I35" s="1" t="str">
        <f>VLOOKUP(Operaciones[[#This Row],[Pais Destino]],Mercado[#All],2,0)</f>
        <v>Centroamérica</v>
      </c>
      <c r="J35" s="1">
        <f>VLOOKUP(Operaciones[[#This Row],[Pais Destino]],Mercado[],3,0)</f>
        <v>0.03</v>
      </c>
      <c r="K35" s="1" t="str">
        <f>VLOOKUP(Operaciones[[#This Row],[Pais Destino]],Mercado[#All],4,0)</f>
        <v>Estratégico</v>
      </c>
      <c r="L35" s="1">
        <v>500</v>
      </c>
      <c r="M35" s="1">
        <v>12.5</v>
      </c>
      <c r="N35" s="1">
        <f>Operaciones[[#This Row],[Unidades]]*Operaciones[[#This Row],[Precio FOB]]</f>
        <v>6250</v>
      </c>
      <c r="O35" s="1">
        <v>8.6999999999999993</v>
      </c>
      <c r="P35" s="23">
        <f>Operaciones[[#This Row],[Unidades]]*Operaciones[[#This Row],[Costo Unitario]]</f>
        <v>4350</v>
      </c>
      <c r="Q35" s="9" t="s">
        <v>25</v>
      </c>
      <c r="R35" s="1">
        <f>Operaciones[[#This Row],[Valor FOB]]-Operaciones[[#This Row],[Costo total]]</f>
        <v>1900</v>
      </c>
      <c r="S35" s="26">
        <f>Operaciones[[#This Row],[Utilidad ]]/Operaciones[[#This Row],[Valor FOB]]</f>
        <v>0.30399999999999999</v>
      </c>
    </row>
    <row r="36" spans="2:19" x14ac:dyDescent="0.3">
      <c r="B36" s="8" t="s">
        <v>82</v>
      </c>
      <c r="C36" s="7">
        <v>46301</v>
      </c>
      <c r="D36" s="1" t="s">
        <v>18</v>
      </c>
      <c r="E36" s="5" t="s">
        <v>14</v>
      </c>
      <c r="F36" s="5" t="str">
        <f>VLOOKUP(Operaciones[[#This Row],[Código Producto]],Producto[#All],2,0)</f>
        <v>Café especial</v>
      </c>
      <c r="G36" s="5" t="str">
        <f>VLOOKUP(Operaciones[[#This Row],[Código Producto]],Producto[#All],3,0)</f>
        <v>Café</v>
      </c>
      <c r="H36" s="1" t="s">
        <v>20</v>
      </c>
      <c r="I36" s="1" t="str">
        <f>VLOOKUP(Operaciones[[#This Row],[Pais Destino]],Mercado[#All],2,0)</f>
        <v>Centroamérica</v>
      </c>
      <c r="J36" s="1">
        <f>VLOOKUP(Operaciones[[#This Row],[Pais Destino]],Mercado[],3,0)</f>
        <v>0.02</v>
      </c>
      <c r="K36" s="1" t="str">
        <f>VLOOKUP(Operaciones[[#This Row],[Pais Destino]],Mercado[#All],4,0)</f>
        <v>Estratégico</v>
      </c>
      <c r="L36" s="1">
        <v>950</v>
      </c>
      <c r="M36" s="1">
        <v>6.5</v>
      </c>
      <c r="N36" s="1">
        <f>Operaciones[[#This Row],[Unidades]]*Operaciones[[#This Row],[Precio FOB]]</f>
        <v>6175</v>
      </c>
      <c r="O36" s="1">
        <v>4.0999999999999996</v>
      </c>
      <c r="P36" s="23">
        <f>Operaciones[[#This Row],[Unidades]]*Operaciones[[#This Row],[Costo Unitario]]</f>
        <v>3894.9999999999995</v>
      </c>
      <c r="Q36" s="9" t="s">
        <v>11</v>
      </c>
      <c r="R36" s="1">
        <f>Operaciones[[#This Row],[Valor FOB]]-Operaciones[[#This Row],[Costo total]]</f>
        <v>2280.0000000000005</v>
      </c>
      <c r="S36" s="26">
        <f>Operaciones[[#This Row],[Utilidad ]]/Operaciones[[#This Row],[Valor FOB]]</f>
        <v>0.36923076923076931</v>
      </c>
    </row>
    <row r="37" spans="2:19" x14ac:dyDescent="0.3">
      <c r="B37" s="8" t="s">
        <v>83</v>
      </c>
      <c r="C37" s="7">
        <v>46309</v>
      </c>
      <c r="D37" s="1" t="s">
        <v>22</v>
      </c>
      <c r="E37" s="5" t="s">
        <v>23</v>
      </c>
      <c r="F37" s="5" t="str">
        <f>VLOOKUP(Operaciones[[#This Row],[Código Producto]],Producto[#All],2,0)</f>
        <v>Cacao en grano</v>
      </c>
      <c r="G37" s="5" t="str">
        <f>VLOOKUP(Operaciones[[#This Row],[Código Producto]],Producto[#All],3,0)</f>
        <v>Cacao</v>
      </c>
      <c r="H37" s="1" t="s">
        <v>24</v>
      </c>
      <c r="I37" s="1" t="str">
        <f>VLOOKUP(Operaciones[[#This Row],[Pais Destino]],Mercado[#All],2,0)</f>
        <v>Europa</v>
      </c>
      <c r="J37" s="1">
        <f>VLOOKUP(Operaciones[[#This Row],[Pais Destino]],Mercado[],3,0)</f>
        <v>0.1</v>
      </c>
      <c r="K37" s="1" t="str">
        <f>VLOOKUP(Operaciones[[#This Row],[Pais Destino]],Mercado[#All],4,0)</f>
        <v>Potencial</v>
      </c>
      <c r="L37" s="1">
        <v>1050</v>
      </c>
      <c r="M37" s="1">
        <v>7.1</v>
      </c>
      <c r="N37" s="1">
        <f>Operaciones[[#This Row],[Unidades]]*Operaciones[[#This Row],[Precio FOB]]</f>
        <v>7455</v>
      </c>
      <c r="O37" s="1">
        <v>4.8</v>
      </c>
      <c r="P37" s="23">
        <f>Operaciones[[#This Row],[Unidades]]*Operaciones[[#This Row],[Costo Unitario]]</f>
        <v>5040</v>
      </c>
      <c r="Q37" s="9" t="s">
        <v>16</v>
      </c>
      <c r="R37" s="1">
        <f>Operaciones[[#This Row],[Valor FOB]]-Operaciones[[#This Row],[Costo total]]</f>
        <v>2415</v>
      </c>
      <c r="S37" s="26">
        <f>Operaciones[[#This Row],[Utilidad ]]/Operaciones[[#This Row],[Valor FOB]]</f>
        <v>0.323943661971831</v>
      </c>
    </row>
    <row r="38" spans="2:19" x14ac:dyDescent="0.3">
      <c r="B38" s="8" t="s">
        <v>84</v>
      </c>
      <c r="C38" s="7">
        <v>46317</v>
      </c>
      <c r="D38" s="1" t="s">
        <v>27</v>
      </c>
      <c r="E38" s="5" t="s">
        <v>9</v>
      </c>
      <c r="F38" s="5" t="str">
        <f>VLOOKUP(Operaciones[[#This Row],[Código Producto]],Producto[#All],2,0)</f>
        <v>Miel natural</v>
      </c>
      <c r="G38" s="5" t="str">
        <f>VLOOKUP(Operaciones[[#This Row],[Código Producto]],Producto[#All],3,0)</f>
        <v>Apícola</v>
      </c>
      <c r="H38" s="1" t="s">
        <v>29</v>
      </c>
      <c r="I38" s="1" t="str">
        <f>VLOOKUP(Operaciones[[#This Row],[Pais Destino]],Mercado[#All],2,0)</f>
        <v>Norteamérica</v>
      </c>
      <c r="J38" s="1">
        <f>VLOOKUP(Operaciones[[#This Row],[Pais Destino]],Mercado[],3,0)</f>
        <v>0.08</v>
      </c>
      <c r="K38" s="1" t="str">
        <f>VLOOKUP(Operaciones[[#This Row],[Pais Destino]],Mercado[#All],4,0)</f>
        <v>Potencial</v>
      </c>
      <c r="L38" s="1">
        <v>750</v>
      </c>
      <c r="M38" s="1">
        <v>4.8</v>
      </c>
      <c r="N38" s="1">
        <f>Operaciones[[#This Row],[Unidades]]*Operaciones[[#This Row],[Precio FOB]]</f>
        <v>3600</v>
      </c>
      <c r="O38" s="1">
        <v>3.2</v>
      </c>
      <c r="P38" s="23">
        <f>Operaciones[[#This Row],[Unidades]]*Operaciones[[#This Row],[Costo Unitario]]</f>
        <v>2400</v>
      </c>
      <c r="Q38" s="9" t="s">
        <v>11</v>
      </c>
      <c r="R38" s="1">
        <f>Operaciones[[#This Row],[Valor FOB]]-Operaciones[[#This Row],[Costo total]]</f>
        <v>1200</v>
      </c>
      <c r="S38" s="26">
        <f>Operaciones[[#This Row],[Utilidad ]]/Operaciones[[#This Row],[Valor FOB]]</f>
        <v>0.33333333333333331</v>
      </c>
    </row>
    <row r="39" spans="2:19" x14ac:dyDescent="0.3">
      <c r="B39" s="8" t="s">
        <v>85</v>
      </c>
      <c r="C39" s="7">
        <v>46325</v>
      </c>
      <c r="D39" s="1" t="s">
        <v>13</v>
      </c>
      <c r="E39" s="5" t="s">
        <v>19</v>
      </c>
      <c r="F39" s="5" t="str">
        <f>VLOOKUP(Operaciones[[#This Row],[Código Producto]],Producto[#All],2,0)</f>
        <v>Maní procesado</v>
      </c>
      <c r="G39" s="5" t="str">
        <f>VLOOKUP(Operaciones[[#This Row],[Código Producto]],Producto[#All],3,0)</f>
        <v>Semillas</v>
      </c>
      <c r="H39" s="1" t="s">
        <v>15</v>
      </c>
      <c r="I39" s="1" t="str">
        <f>VLOOKUP(Operaciones[[#This Row],[Pais Destino]],Mercado[#All],2,0)</f>
        <v>Norteamérica</v>
      </c>
      <c r="J39" s="1">
        <f>VLOOKUP(Operaciones[[#This Row],[Pais Destino]],Mercado[],3,0)</f>
        <v>0.05</v>
      </c>
      <c r="K39" s="1" t="str">
        <f>VLOOKUP(Operaciones[[#This Row],[Pais Destino]],Mercado[#All],4,0)</f>
        <v>Estratégico</v>
      </c>
      <c r="L39" s="1">
        <v>900</v>
      </c>
      <c r="M39" s="1">
        <v>8.1999999999999993</v>
      </c>
      <c r="N39" s="1">
        <f>Operaciones[[#This Row],[Unidades]]*Operaciones[[#This Row],[Precio FOB]]</f>
        <v>7379.9999999999991</v>
      </c>
      <c r="O39" s="1">
        <v>5.9</v>
      </c>
      <c r="P39" s="23">
        <f>Operaciones[[#This Row],[Unidades]]*Operaciones[[#This Row],[Costo Unitario]]</f>
        <v>5310</v>
      </c>
      <c r="Q39" s="9" t="s">
        <v>16</v>
      </c>
      <c r="R39" s="1">
        <f>Operaciones[[#This Row],[Valor FOB]]-Operaciones[[#This Row],[Costo total]]</f>
        <v>2069.9999999999991</v>
      </c>
      <c r="S39" s="26">
        <f>Operaciones[[#This Row],[Utilidad ]]/Operaciones[[#This Row],[Valor FOB]]</f>
        <v>0.2804878048780487</v>
      </c>
    </row>
    <row r="40" spans="2:19" x14ac:dyDescent="0.3">
      <c r="B40" s="8" t="s">
        <v>86</v>
      </c>
      <c r="C40" s="7">
        <v>46333</v>
      </c>
      <c r="D40" s="1" t="s">
        <v>8</v>
      </c>
      <c r="E40" s="5" t="s">
        <v>14</v>
      </c>
      <c r="F40" s="5" t="str">
        <f>VLOOKUP(Operaciones[[#This Row],[Código Producto]],Producto[#All],2,0)</f>
        <v>Café especial</v>
      </c>
      <c r="G40" s="5" t="str">
        <f>VLOOKUP(Operaciones[[#This Row],[Código Producto]],Producto[#All],3,0)</f>
        <v>Café</v>
      </c>
      <c r="H40" s="1" t="s">
        <v>10</v>
      </c>
      <c r="I40" s="1" t="str">
        <f>VLOOKUP(Operaciones[[#This Row],[Pais Destino]],Mercado[#All],2,0)</f>
        <v>Centroamérica</v>
      </c>
      <c r="J40" s="1">
        <f>VLOOKUP(Operaciones[[#This Row],[Pais Destino]],Mercado[],3,0)</f>
        <v>0.03</v>
      </c>
      <c r="K40" s="1" t="str">
        <f>VLOOKUP(Operaciones[[#This Row],[Pais Destino]],Mercado[#All],4,0)</f>
        <v>Estratégico</v>
      </c>
      <c r="L40" s="1">
        <v>1150</v>
      </c>
      <c r="M40" s="1">
        <v>6.5</v>
      </c>
      <c r="N40" s="1">
        <f>Operaciones[[#This Row],[Unidades]]*Operaciones[[#This Row],[Precio FOB]]</f>
        <v>7475</v>
      </c>
      <c r="O40" s="1">
        <v>4.0999999999999996</v>
      </c>
      <c r="P40" s="23">
        <f>Operaciones[[#This Row],[Unidades]]*Operaciones[[#This Row],[Costo Unitario]]</f>
        <v>4715</v>
      </c>
      <c r="Q40" s="9" t="s">
        <v>16</v>
      </c>
      <c r="R40" s="1">
        <f>Operaciones[[#This Row],[Valor FOB]]-Operaciones[[#This Row],[Costo total]]</f>
        <v>2760</v>
      </c>
      <c r="S40" s="26">
        <f>Operaciones[[#This Row],[Utilidad ]]/Operaciones[[#This Row],[Valor FOB]]</f>
        <v>0.36923076923076925</v>
      </c>
    </row>
    <row r="41" spans="2:19" x14ac:dyDescent="0.3">
      <c r="B41" s="8" t="s">
        <v>87</v>
      </c>
      <c r="C41" s="7">
        <v>46341</v>
      </c>
      <c r="D41" s="1" t="s">
        <v>18</v>
      </c>
      <c r="E41" s="5" t="s">
        <v>28</v>
      </c>
      <c r="F41" s="5" t="str">
        <f>VLOOKUP(Operaciones[[#This Row],[Código Producto]],Producto[#All],2,0)</f>
        <v>Aceite de ajonjolí</v>
      </c>
      <c r="G41" s="5" t="str">
        <f>VLOOKUP(Operaciones[[#This Row],[Código Producto]],Producto[#All],3,0)</f>
        <v>Aceites</v>
      </c>
      <c r="H41" s="1" t="s">
        <v>20</v>
      </c>
      <c r="I41" s="1" t="str">
        <f>VLOOKUP(Operaciones[[#This Row],[Pais Destino]],Mercado[#All],2,0)</f>
        <v>Centroamérica</v>
      </c>
      <c r="J41" s="1">
        <f>VLOOKUP(Operaciones[[#This Row],[Pais Destino]],Mercado[],3,0)</f>
        <v>0.02</v>
      </c>
      <c r="K41" s="1" t="str">
        <f>VLOOKUP(Operaciones[[#This Row],[Pais Destino]],Mercado[#All],4,0)</f>
        <v>Estratégico</v>
      </c>
      <c r="L41" s="1">
        <v>580</v>
      </c>
      <c r="M41" s="1">
        <v>12.5</v>
      </c>
      <c r="N41" s="1">
        <f>Operaciones[[#This Row],[Unidades]]*Operaciones[[#This Row],[Precio FOB]]</f>
        <v>7250</v>
      </c>
      <c r="O41" s="1">
        <v>8.6999999999999993</v>
      </c>
      <c r="P41" s="23">
        <f>Operaciones[[#This Row],[Unidades]]*Operaciones[[#This Row],[Costo Unitario]]</f>
        <v>5046</v>
      </c>
      <c r="Q41" s="9" t="s">
        <v>11</v>
      </c>
      <c r="R41" s="1">
        <f>Operaciones[[#This Row],[Valor FOB]]-Operaciones[[#This Row],[Costo total]]</f>
        <v>2204</v>
      </c>
      <c r="S41" s="26">
        <f>Operaciones[[#This Row],[Utilidad ]]/Operaciones[[#This Row],[Valor FOB]]</f>
        <v>0.30399999999999999</v>
      </c>
    </row>
    <row r="42" spans="2:19" x14ac:dyDescent="0.3">
      <c r="B42" s="8" t="s">
        <v>88</v>
      </c>
      <c r="C42" s="7">
        <v>46349</v>
      </c>
      <c r="D42" s="1" t="s">
        <v>22</v>
      </c>
      <c r="E42" s="5" t="s">
        <v>9</v>
      </c>
      <c r="F42" s="5" t="str">
        <f>VLOOKUP(Operaciones[[#This Row],[Código Producto]],Producto[#All],2,0)</f>
        <v>Miel natural</v>
      </c>
      <c r="G42" s="5" t="str">
        <f>VLOOKUP(Operaciones[[#This Row],[Código Producto]],Producto[#All],3,0)</f>
        <v>Apícola</v>
      </c>
      <c r="H42" s="1" t="s">
        <v>24</v>
      </c>
      <c r="I42" s="1" t="str">
        <f>VLOOKUP(Operaciones[[#This Row],[Pais Destino]],Mercado[#All],2,0)</f>
        <v>Europa</v>
      </c>
      <c r="J42" s="1">
        <f>VLOOKUP(Operaciones[[#This Row],[Pais Destino]],Mercado[],3,0)</f>
        <v>0.1</v>
      </c>
      <c r="K42" s="1" t="str">
        <f>VLOOKUP(Operaciones[[#This Row],[Pais Destino]],Mercado[#All],4,0)</f>
        <v>Potencial</v>
      </c>
      <c r="L42" s="1">
        <v>1300</v>
      </c>
      <c r="M42" s="1">
        <v>4.8</v>
      </c>
      <c r="N42" s="1">
        <f>Operaciones[[#This Row],[Unidades]]*Operaciones[[#This Row],[Precio FOB]]</f>
        <v>6240</v>
      </c>
      <c r="O42" s="1">
        <v>3.2</v>
      </c>
      <c r="P42" s="23">
        <f>Operaciones[[#This Row],[Unidades]]*Operaciones[[#This Row],[Costo Unitario]]</f>
        <v>4160</v>
      </c>
      <c r="Q42" s="9" t="s">
        <v>25</v>
      </c>
      <c r="R42" s="1">
        <f>Operaciones[[#This Row],[Valor FOB]]-Operaciones[[#This Row],[Costo total]]</f>
        <v>2080</v>
      </c>
      <c r="S42" s="26">
        <f>Operaciones[[#This Row],[Utilidad ]]/Operaciones[[#This Row],[Valor FOB]]</f>
        <v>0.33333333333333331</v>
      </c>
    </row>
    <row r="43" spans="2:19" x14ac:dyDescent="0.3">
      <c r="B43" s="8" t="s">
        <v>89</v>
      </c>
      <c r="C43" s="7">
        <v>46357</v>
      </c>
      <c r="D43" s="1" t="s">
        <v>27</v>
      </c>
      <c r="E43" s="5" t="s">
        <v>23</v>
      </c>
      <c r="F43" s="5" t="str">
        <f>VLOOKUP(Operaciones[[#This Row],[Código Producto]],Producto[#All],2,0)</f>
        <v>Cacao en grano</v>
      </c>
      <c r="G43" s="5" t="str">
        <f>VLOOKUP(Operaciones[[#This Row],[Código Producto]],Producto[#All],3,0)</f>
        <v>Cacao</v>
      </c>
      <c r="H43" s="1" t="s">
        <v>29</v>
      </c>
      <c r="I43" s="1" t="str">
        <f>VLOOKUP(Operaciones[[#This Row],[Pais Destino]],Mercado[#All],2,0)</f>
        <v>Norteamérica</v>
      </c>
      <c r="J43" s="1">
        <f>VLOOKUP(Operaciones[[#This Row],[Pais Destino]],Mercado[],3,0)</f>
        <v>0.08</v>
      </c>
      <c r="K43" s="1" t="str">
        <f>VLOOKUP(Operaciones[[#This Row],[Pais Destino]],Mercado[#All],4,0)</f>
        <v>Potencial</v>
      </c>
      <c r="L43" s="1">
        <v>900</v>
      </c>
      <c r="M43" s="1">
        <v>7.1</v>
      </c>
      <c r="N43" s="1">
        <f>Operaciones[[#This Row],[Unidades]]*Operaciones[[#This Row],[Precio FOB]]</f>
        <v>6390</v>
      </c>
      <c r="O43" s="1">
        <v>4.8</v>
      </c>
      <c r="P43" s="23">
        <f>Operaciones[[#This Row],[Unidades]]*Operaciones[[#This Row],[Costo Unitario]]</f>
        <v>4320</v>
      </c>
      <c r="Q43" s="9" t="s">
        <v>16</v>
      </c>
      <c r="R43" s="1">
        <f>Operaciones[[#This Row],[Valor FOB]]-Operaciones[[#This Row],[Costo total]]</f>
        <v>2070</v>
      </c>
      <c r="S43" s="26">
        <f>Operaciones[[#This Row],[Utilidad ]]/Operaciones[[#This Row],[Valor FOB]]</f>
        <v>0.323943661971831</v>
      </c>
    </row>
    <row r="44" spans="2:19" x14ac:dyDescent="0.3">
      <c r="B44" s="8" t="s">
        <v>90</v>
      </c>
      <c r="C44" s="7">
        <v>46364</v>
      </c>
      <c r="D44" s="1" t="s">
        <v>13</v>
      </c>
      <c r="E44" s="5" t="s">
        <v>14</v>
      </c>
      <c r="F44" s="5" t="str">
        <f>VLOOKUP(Operaciones[[#This Row],[Código Producto]],Producto[#All],2,0)</f>
        <v>Café especial</v>
      </c>
      <c r="G44" s="5" t="str">
        <f>VLOOKUP(Operaciones[[#This Row],[Código Producto]],Producto[#All],3,0)</f>
        <v>Café</v>
      </c>
      <c r="H44" s="1" t="s">
        <v>15</v>
      </c>
      <c r="I44" s="1" t="str">
        <f>VLOOKUP(Operaciones[[#This Row],[Pais Destino]],Mercado[#All],2,0)</f>
        <v>Norteamérica</v>
      </c>
      <c r="J44" s="1">
        <f>VLOOKUP(Operaciones[[#This Row],[Pais Destino]],Mercado[],3,0)</f>
        <v>0.05</v>
      </c>
      <c r="K44" s="1" t="str">
        <f>VLOOKUP(Operaciones[[#This Row],[Pais Destino]],Mercado[#All],4,0)</f>
        <v>Estratégico</v>
      </c>
      <c r="L44" s="1">
        <v>1400</v>
      </c>
      <c r="M44" s="1">
        <v>6.5</v>
      </c>
      <c r="N44" s="1">
        <f>Operaciones[[#This Row],[Unidades]]*Operaciones[[#This Row],[Precio FOB]]</f>
        <v>9100</v>
      </c>
      <c r="O44" s="1">
        <v>4.0999999999999996</v>
      </c>
      <c r="P44" s="23">
        <f>Operaciones[[#This Row],[Unidades]]*Operaciones[[#This Row],[Costo Unitario]]</f>
        <v>5739.9999999999991</v>
      </c>
      <c r="Q44" s="9" t="s">
        <v>11</v>
      </c>
      <c r="R44" s="1">
        <f>Operaciones[[#This Row],[Valor FOB]]-Operaciones[[#This Row],[Costo total]]</f>
        <v>3360.0000000000009</v>
      </c>
      <c r="S44" s="26">
        <f>Operaciones[[#This Row],[Utilidad ]]/Operaciones[[#This Row],[Valor FOB]]</f>
        <v>0.36923076923076931</v>
      </c>
    </row>
    <row r="45" spans="2:19" x14ac:dyDescent="0.3">
      <c r="B45" s="8" t="s">
        <v>91</v>
      </c>
      <c r="C45" s="7">
        <v>46371</v>
      </c>
      <c r="D45" s="1" t="s">
        <v>8</v>
      </c>
      <c r="E45" s="5" t="s">
        <v>19</v>
      </c>
      <c r="F45" s="5" t="str">
        <f>VLOOKUP(Operaciones[[#This Row],[Código Producto]],Producto[#All],2,0)</f>
        <v>Maní procesado</v>
      </c>
      <c r="G45" s="5" t="str">
        <f>VLOOKUP(Operaciones[[#This Row],[Código Producto]],Producto[#All],3,0)</f>
        <v>Semillas</v>
      </c>
      <c r="H45" s="1" t="s">
        <v>10</v>
      </c>
      <c r="I45" s="1" t="str">
        <f>VLOOKUP(Operaciones[[#This Row],[Pais Destino]],Mercado[#All],2,0)</f>
        <v>Centroamérica</v>
      </c>
      <c r="J45" s="1">
        <f>VLOOKUP(Operaciones[[#This Row],[Pais Destino]],Mercado[],3,0)</f>
        <v>0.03</v>
      </c>
      <c r="K45" s="1" t="str">
        <f>VLOOKUP(Operaciones[[#This Row],[Pais Destino]],Mercado[#All],4,0)</f>
        <v>Estratégico</v>
      </c>
      <c r="L45" s="1">
        <v>800</v>
      </c>
      <c r="M45" s="1">
        <v>8.1999999999999993</v>
      </c>
      <c r="N45" s="1">
        <f>Operaciones[[#This Row],[Unidades]]*Operaciones[[#This Row],[Precio FOB]]</f>
        <v>6559.9999999999991</v>
      </c>
      <c r="O45" s="1">
        <v>5.9</v>
      </c>
      <c r="P45" s="23">
        <f>Operaciones[[#This Row],[Unidades]]*Operaciones[[#This Row],[Costo Unitario]]</f>
        <v>4720</v>
      </c>
      <c r="Q45" s="9" t="s">
        <v>16</v>
      </c>
      <c r="R45" s="1">
        <f>Operaciones[[#This Row],[Valor FOB]]-Operaciones[[#This Row],[Costo total]]</f>
        <v>1839.9999999999991</v>
      </c>
      <c r="S45" s="26">
        <f>Operaciones[[#This Row],[Utilidad ]]/Operaciones[[#This Row],[Valor FOB]]</f>
        <v>0.2804878048780487</v>
      </c>
    </row>
    <row r="46" spans="2:19" x14ac:dyDescent="0.3">
      <c r="B46" s="8" t="s">
        <v>92</v>
      </c>
      <c r="C46" s="7">
        <v>46378</v>
      </c>
      <c r="D46" s="1" t="s">
        <v>18</v>
      </c>
      <c r="E46" s="5" t="s">
        <v>9</v>
      </c>
      <c r="F46" s="5" t="str">
        <f>VLOOKUP(Operaciones[[#This Row],[Código Producto]],Producto[#All],2,0)</f>
        <v>Miel natural</v>
      </c>
      <c r="G46" s="5" t="str">
        <f>VLOOKUP(Operaciones[[#This Row],[Código Producto]],Producto[#All],3,0)</f>
        <v>Apícola</v>
      </c>
      <c r="H46" s="1" t="s">
        <v>20</v>
      </c>
      <c r="I46" s="1" t="str">
        <f>VLOOKUP(Operaciones[[#This Row],[Pais Destino]],Mercado[#All],2,0)</f>
        <v>Centroamérica</v>
      </c>
      <c r="J46" s="1">
        <f>VLOOKUP(Operaciones[[#This Row],[Pais Destino]],Mercado[],3,0)</f>
        <v>0.02</v>
      </c>
      <c r="K46" s="1" t="str">
        <f>VLOOKUP(Operaciones[[#This Row],[Pais Destino]],Mercado[#All],4,0)</f>
        <v>Estratégico</v>
      </c>
      <c r="L46" s="1">
        <v>1000</v>
      </c>
      <c r="M46" s="1">
        <v>4.8</v>
      </c>
      <c r="N46" s="1">
        <f>Operaciones[[#This Row],[Unidades]]*Operaciones[[#This Row],[Precio FOB]]</f>
        <v>4800</v>
      </c>
      <c r="O46" s="1">
        <v>3.2</v>
      </c>
      <c r="P46" s="23">
        <f>Operaciones[[#This Row],[Unidades]]*Operaciones[[#This Row],[Costo Unitario]]</f>
        <v>3200</v>
      </c>
      <c r="Q46" s="9" t="s">
        <v>16</v>
      </c>
      <c r="R46" s="1">
        <f>Operaciones[[#This Row],[Valor FOB]]-Operaciones[[#This Row],[Costo total]]</f>
        <v>1600</v>
      </c>
      <c r="S46" s="26">
        <f>Operaciones[[#This Row],[Utilidad ]]/Operaciones[[#This Row],[Valor FOB]]</f>
        <v>0.33333333333333331</v>
      </c>
    </row>
    <row r="47" spans="2:19" x14ac:dyDescent="0.3">
      <c r="B47" s="8" t="s">
        <v>93</v>
      </c>
      <c r="C47" s="7">
        <v>46384</v>
      </c>
      <c r="D47" s="1" t="s">
        <v>22</v>
      </c>
      <c r="E47" s="5" t="s">
        <v>28</v>
      </c>
      <c r="F47" s="5" t="str">
        <f>VLOOKUP(Operaciones[[#This Row],[Código Producto]],Producto[#All],2,0)</f>
        <v>Aceite de ajonjolí</v>
      </c>
      <c r="G47" s="5" t="str">
        <f>VLOOKUP(Operaciones[[#This Row],[Código Producto]],Producto[#All],3,0)</f>
        <v>Aceites</v>
      </c>
      <c r="H47" s="1" t="s">
        <v>24</v>
      </c>
      <c r="I47" s="1" t="str">
        <f>VLOOKUP(Operaciones[[#This Row],[Pais Destino]],Mercado[#All],2,0)</f>
        <v>Europa</v>
      </c>
      <c r="J47" s="1">
        <f>VLOOKUP(Operaciones[[#This Row],[Pais Destino]],Mercado[],3,0)</f>
        <v>0.1</v>
      </c>
      <c r="K47" s="1" t="str">
        <f>VLOOKUP(Operaciones[[#This Row],[Pais Destino]],Mercado[#All],4,0)</f>
        <v>Potencial</v>
      </c>
      <c r="L47" s="1">
        <v>650</v>
      </c>
      <c r="M47" s="1">
        <v>12.5</v>
      </c>
      <c r="N47" s="1">
        <f>Operaciones[[#This Row],[Unidades]]*Operaciones[[#This Row],[Precio FOB]]</f>
        <v>8125</v>
      </c>
      <c r="O47" s="1">
        <v>8.6999999999999993</v>
      </c>
      <c r="P47" s="23">
        <f>Operaciones[[#This Row],[Unidades]]*Operaciones[[#This Row],[Costo Unitario]]</f>
        <v>5654.9999999999991</v>
      </c>
      <c r="Q47" s="9" t="s">
        <v>11</v>
      </c>
      <c r="R47" s="1">
        <f>Operaciones[[#This Row],[Valor FOB]]-Operaciones[[#This Row],[Costo total]]</f>
        <v>2470.0000000000009</v>
      </c>
      <c r="S47" s="26">
        <f>Operaciones[[#This Row],[Utilidad ]]/Operaciones[[#This Row],[Valor FOB]]</f>
        <v>0.3040000000000001</v>
      </c>
    </row>
    <row r="48" spans="2:19" x14ac:dyDescent="0.3">
      <c r="B48" s="8" t="s">
        <v>94</v>
      </c>
      <c r="C48" s="7">
        <v>46026</v>
      </c>
      <c r="D48" s="1" t="s">
        <v>27</v>
      </c>
      <c r="E48" s="5" t="s">
        <v>14</v>
      </c>
      <c r="F48" s="5" t="str">
        <f>VLOOKUP(Operaciones[[#This Row],[Código Producto]],Producto[#All],2,0)</f>
        <v>Café especial</v>
      </c>
      <c r="G48" s="5" t="str">
        <f>VLOOKUP(Operaciones[[#This Row],[Código Producto]],Producto[#All],3,0)</f>
        <v>Café</v>
      </c>
      <c r="H48" s="1" t="s">
        <v>29</v>
      </c>
      <c r="I48" s="1" t="str">
        <f>VLOOKUP(Operaciones[[#This Row],[Pais Destino]],Mercado[#All],2,0)</f>
        <v>Norteamérica</v>
      </c>
      <c r="J48" s="1">
        <f>VLOOKUP(Operaciones[[#This Row],[Pais Destino]],Mercado[],3,0)</f>
        <v>0.08</v>
      </c>
      <c r="K48" s="1" t="str">
        <f>VLOOKUP(Operaciones[[#This Row],[Pais Destino]],Mercado[#All],4,0)</f>
        <v>Potencial</v>
      </c>
      <c r="L48" s="1">
        <v>780</v>
      </c>
      <c r="M48" s="1">
        <v>6.5</v>
      </c>
      <c r="N48" s="1">
        <f>Operaciones[[#This Row],[Unidades]]*Operaciones[[#This Row],[Precio FOB]]</f>
        <v>5070</v>
      </c>
      <c r="O48" s="1">
        <v>4.0999999999999996</v>
      </c>
      <c r="P48" s="23">
        <f>Operaciones[[#This Row],[Unidades]]*Operaciones[[#This Row],[Costo Unitario]]</f>
        <v>3197.9999999999995</v>
      </c>
      <c r="Q48" s="9" t="s">
        <v>16</v>
      </c>
      <c r="R48" s="1">
        <f>Operaciones[[#This Row],[Valor FOB]]-Operaciones[[#This Row],[Costo total]]</f>
        <v>1872.0000000000005</v>
      </c>
      <c r="S48" s="26">
        <f>Operaciones[[#This Row],[Utilidad ]]/Operaciones[[#This Row],[Valor FOB]]</f>
        <v>0.36923076923076931</v>
      </c>
    </row>
    <row r="49" spans="2:19" x14ac:dyDescent="0.3">
      <c r="B49" s="8" t="s">
        <v>95</v>
      </c>
      <c r="C49" s="7">
        <v>46033</v>
      </c>
      <c r="D49" s="1" t="s">
        <v>13</v>
      </c>
      <c r="E49" s="5" t="s">
        <v>23</v>
      </c>
      <c r="F49" s="5" t="str">
        <f>VLOOKUP(Operaciones[[#This Row],[Código Producto]],Producto[#All],2,0)</f>
        <v>Cacao en grano</v>
      </c>
      <c r="G49" s="5" t="str">
        <f>VLOOKUP(Operaciones[[#This Row],[Código Producto]],Producto[#All],3,0)</f>
        <v>Cacao</v>
      </c>
      <c r="H49" s="1" t="s">
        <v>15</v>
      </c>
      <c r="I49" s="1" t="str">
        <f>VLOOKUP(Operaciones[[#This Row],[Pais Destino]],Mercado[#All],2,0)</f>
        <v>Norteamérica</v>
      </c>
      <c r="J49" s="1">
        <f>VLOOKUP(Operaciones[[#This Row],[Pais Destino]],Mercado[],3,0)</f>
        <v>0.05</v>
      </c>
      <c r="K49" s="1" t="str">
        <f>VLOOKUP(Operaciones[[#This Row],[Pais Destino]],Mercado[#All],4,0)</f>
        <v>Estratégico</v>
      </c>
      <c r="L49" s="1">
        <v>1180</v>
      </c>
      <c r="M49" s="1">
        <v>7.1</v>
      </c>
      <c r="N49" s="1">
        <f>Operaciones[[#This Row],[Unidades]]*Operaciones[[#This Row],[Precio FOB]]</f>
        <v>8378</v>
      </c>
      <c r="O49" s="1">
        <v>4.8</v>
      </c>
      <c r="P49" s="23">
        <f>Operaciones[[#This Row],[Unidades]]*Operaciones[[#This Row],[Costo Unitario]]</f>
        <v>5664</v>
      </c>
      <c r="Q49" s="9" t="s">
        <v>25</v>
      </c>
      <c r="R49" s="1">
        <f>Operaciones[[#This Row],[Valor FOB]]-Operaciones[[#This Row],[Costo total]]</f>
        <v>2714</v>
      </c>
      <c r="S49" s="26">
        <f>Operaciones[[#This Row],[Utilidad ]]/Operaciones[[#This Row],[Valor FOB]]</f>
        <v>0.323943661971831</v>
      </c>
    </row>
    <row r="50" spans="2:19" x14ac:dyDescent="0.3">
      <c r="B50" s="8" t="s">
        <v>96</v>
      </c>
      <c r="C50" s="7">
        <v>46040</v>
      </c>
      <c r="D50" s="1" t="s">
        <v>8</v>
      </c>
      <c r="E50" s="5" t="s">
        <v>9</v>
      </c>
      <c r="F50" s="5" t="str">
        <f>VLOOKUP(Operaciones[[#This Row],[Código Producto]],Producto[#All],2,0)</f>
        <v>Miel natural</v>
      </c>
      <c r="G50" s="5" t="str">
        <f>VLOOKUP(Operaciones[[#This Row],[Código Producto]],Producto[#All],3,0)</f>
        <v>Apícola</v>
      </c>
      <c r="H50" s="1" t="s">
        <v>10</v>
      </c>
      <c r="I50" s="1" t="str">
        <f>VLOOKUP(Operaciones[[#This Row],[Pais Destino]],Mercado[#All],2,0)</f>
        <v>Centroamérica</v>
      </c>
      <c r="J50" s="1">
        <f>VLOOKUP(Operaciones[[#This Row],[Pais Destino]],Mercado[],3,0)</f>
        <v>0.03</v>
      </c>
      <c r="K50" s="1" t="str">
        <f>VLOOKUP(Operaciones[[#This Row],[Pais Destino]],Mercado[#All],4,0)</f>
        <v>Estratégico</v>
      </c>
      <c r="L50" s="1">
        <v>920</v>
      </c>
      <c r="M50" s="1">
        <v>4.8</v>
      </c>
      <c r="N50" s="1">
        <f>Operaciones[[#This Row],[Unidades]]*Operaciones[[#This Row],[Precio FOB]]</f>
        <v>4416</v>
      </c>
      <c r="O50" s="1">
        <v>3.2</v>
      </c>
      <c r="P50" s="23">
        <f>Operaciones[[#This Row],[Unidades]]*Operaciones[[#This Row],[Costo Unitario]]</f>
        <v>2944</v>
      </c>
      <c r="Q50" s="9" t="s">
        <v>11</v>
      </c>
      <c r="R50" s="1">
        <f>Operaciones[[#This Row],[Valor FOB]]-Operaciones[[#This Row],[Costo total]]</f>
        <v>1472</v>
      </c>
      <c r="S50" s="26">
        <f>Operaciones[[#This Row],[Utilidad ]]/Operaciones[[#This Row],[Valor FOB]]</f>
        <v>0.33333333333333331</v>
      </c>
    </row>
    <row r="51" spans="2:19" x14ac:dyDescent="0.3">
      <c r="B51" s="8" t="s">
        <v>97</v>
      </c>
      <c r="C51" s="7">
        <v>46048</v>
      </c>
      <c r="D51" s="1" t="s">
        <v>18</v>
      </c>
      <c r="E51" s="5" t="s">
        <v>19</v>
      </c>
      <c r="F51" s="5" t="str">
        <f>VLOOKUP(Operaciones[[#This Row],[Código Producto]],Producto[#All],2,0)</f>
        <v>Maní procesado</v>
      </c>
      <c r="G51" s="5" t="str">
        <f>VLOOKUP(Operaciones[[#This Row],[Código Producto]],Producto[#All],3,0)</f>
        <v>Semillas</v>
      </c>
      <c r="H51" s="1" t="s">
        <v>20</v>
      </c>
      <c r="I51" s="1" t="str">
        <f>VLOOKUP(Operaciones[[#This Row],[Pais Destino]],Mercado[#All],2,0)</f>
        <v>Centroamérica</v>
      </c>
      <c r="J51" s="1">
        <f>VLOOKUP(Operaciones[[#This Row],[Pais Destino]],Mercado[],3,0)</f>
        <v>0.02</v>
      </c>
      <c r="K51" s="1" t="str">
        <f>VLOOKUP(Operaciones[[#This Row],[Pais Destino]],Mercado[#All],4,0)</f>
        <v>Estratégico</v>
      </c>
      <c r="L51" s="1">
        <v>680</v>
      </c>
      <c r="M51" s="1">
        <v>8.1999999999999993</v>
      </c>
      <c r="N51" s="1">
        <f>Operaciones[[#This Row],[Unidades]]*Operaciones[[#This Row],[Precio FOB]]</f>
        <v>5575.9999999999991</v>
      </c>
      <c r="O51" s="1">
        <v>5.9</v>
      </c>
      <c r="P51" s="23">
        <f>Operaciones[[#This Row],[Unidades]]*Operaciones[[#This Row],[Costo Unitario]]</f>
        <v>4012.0000000000005</v>
      </c>
      <c r="Q51" s="9" t="s">
        <v>16</v>
      </c>
      <c r="R51" s="1">
        <f>Operaciones[[#This Row],[Valor FOB]]-Operaciones[[#This Row],[Costo total]]</f>
        <v>1563.9999999999986</v>
      </c>
      <c r="S51" s="26">
        <f>Operaciones[[#This Row],[Utilidad ]]/Operaciones[[#This Row],[Valor FOB]]</f>
        <v>0.28048780487804859</v>
      </c>
    </row>
    <row r="52" spans="2:19" x14ac:dyDescent="0.3">
      <c r="B52" s="8" t="s">
        <v>98</v>
      </c>
      <c r="C52" s="7">
        <v>46057</v>
      </c>
      <c r="D52" s="1" t="s">
        <v>22</v>
      </c>
      <c r="E52" s="5" t="s">
        <v>14</v>
      </c>
      <c r="F52" s="5" t="str">
        <f>VLOOKUP(Operaciones[[#This Row],[Código Producto]],Producto[#All],2,0)</f>
        <v>Café especial</v>
      </c>
      <c r="G52" s="5" t="str">
        <f>VLOOKUP(Operaciones[[#This Row],[Código Producto]],Producto[#All],3,0)</f>
        <v>Café</v>
      </c>
      <c r="H52" s="1" t="s">
        <v>24</v>
      </c>
      <c r="I52" s="1" t="str">
        <f>VLOOKUP(Operaciones[[#This Row],[Pais Destino]],Mercado[#All],2,0)</f>
        <v>Europa</v>
      </c>
      <c r="J52" s="1">
        <f>VLOOKUP(Operaciones[[#This Row],[Pais Destino]],Mercado[],3,0)</f>
        <v>0.1</v>
      </c>
      <c r="K52" s="1" t="str">
        <f>VLOOKUP(Operaciones[[#This Row],[Pais Destino]],Mercado[#All],4,0)</f>
        <v>Potencial</v>
      </c>
      <c r="L52" s="1">
        <v>1080</v>
      </c>
      <c r="M52" s="1">
        <v>6.5</v>
      </c>
      <c r="N52" s="1">
        <f>Operaciones[[#This Row],[Unidades]]*Operaciones[[#This Row],[Precio FOB]]</f>
        <v>7020</v>
      </c>
      <c r="O52" s="1">
        <v>4.0999999999999996</v>
      </c>
      <c r="P52" s="23">
        <f>Operaciones[[#This Row],[Unidades]]*Operaciones[[#This Row],[Costo Unitario]]</f>
        <v>4428</v>
      </c>
      <c r="Q52" s="9" t="s">
        <v>11</v>
      </c>
      <c r="R52" s="1">
        <f>Operaciones[[#This Row],[Valor FOB]]-Operaciones[[#This Row],[Costo total]]</f>
        <v>2592</v>
      </c>
      <c r="S52" s="26">
        <f>Operaciones[[#This Row],[Utilidad ]]/Operaciones[[#This Row],[Valor FOB]]</f>
        <v>0.36923076923076925</v>
      </c>
    </row>
    <row r="53" spans="2:19" x14ac:dyDescent="0.3">
      <c r="B53" s="8" t="s">
        <v>99</v>
      </c>
      <c r="C53" s="7">
        <v>46065</v>
      </c>
      <c r="D53" s="1" t="s">
        <v>27</v>
      </c>
      <c r="E53" s="5" t="s">
        <v>28</v>
      </c>
      <c r="F53" s="5" t="str">
        <f>VLOOKUP(Operaciones[[#This Row],[Código Producto]],Producto[#All],2,0)</f>
        <v>Aceite de ajonjolí</v>
      </c>
      <c r="G53" s="5" t="str">
        <f>VLOOKUP(Operaciones[[#This Row],[Código Producto]],Producto[#All],3,0)</f>
        <v>Aceites</v>
      </c>
      <c r="H53" s="1" t="s">
        <v>29</v>
      </c>
      <c r="I53" s="1" t="str">
        <f>VLOOKUP(Operaciones[[#This Row],[Pais Destino]],Mercado[#All],2,0)</f>
        <v>Norteamérica</v>
      </c>
      <c r="J53" s="1">
        <f>VLOOKUP(Operaciones[[#This Row],[Pais Destino]],Mercado[],3,0)</f>
        <v>0.08</v>
      </c>
      <c r="K53" s="1" t="str">
        <f>VLOOKUP(Operaciones[[#This Row],[Pais Destino]],Mercado[#All],4,0)</f>
        <v>Potencial</v>
      </c>
      <c r="L53" s="1">
        <v>520</v>
      </c>
      <c r="M53" s="1">
        <v>12.5</v>
      </c>
      <c r="N53" s="1">
        <f>Operaciones[[#This Row],[Unidades]]*Operaciones[[#This Row],[Precio FOB]]</f>
        <v>6500</v>
      </c>
      <c r="O53" s="1">
        <v>8.6999999999999993</v>
      </c>
      <c r="P53" s="23">
        <f>Operaciones[[#This Row],[Unidades]]*Operaciones[[#This Row],[Costo Unitario]]</f>
        <v>4524</v>
      </c>
      <c r="Q53" s="9" t="s">
        <v>16</v>
      </c>
      <c r="R53" s="1">
        <f>Operaciones[[#This Row],[Valor FOB]]-Operaciones[[#This Row],[Costo total]]</f>
        <v>1976</v>
      </c>
      <c r="S53" s="26">
        <f>Operaciones[[#This Row],[Utilidad ]]/Operaciones[[#This Row],[Valor FOB]]</f>
        <v>0.30399999999999999</v>
      </c>
    </row>
    <row r="54" spans="2:19" x14ac:dyDescent="0.3">
      <c r="B54" s="8" t="s">
        <v>100</v>
      </c>
      <c r="C54" s="7">
        <v>46074</v>
      </c>
      <c r="D54" s="1" t="s">
        <v>13</v>
      </c>
      <c r="E54" s="5" t="s">
        <v>9</v>
      </c>
      <c r="F54" s="5" t="str">
        <f>VLOOKUP(Operaciones[[#This Row],[Código Producto]],Producto[#All],2,0)</f>
        <v>Miel natural</v>
      </c>
      <c r="G54" s="5" t="str">
        <f>VLOOKUP(Operaciones[[#This Row],[Código Producto]],Producto[#All],3,0)</f>
        <v>Apícola</v>
      </c>
      <c r="H54" s="1" t="s">
        <v>15</v>
      </c>
      <c r="I54" s="1" t="str">
        <f>VLOOKUP(Operaciones[[#This Row],[Pais Destino]],Mercado[#All],2,0)</f>
        <v>Norteamérica</v>
      </c>
      <c r="J54" s="1">
        <f>VLOOKUP(Operaciones[[#This Row],[Pais Destino]],Mercado[],3,0)</f>
        <v>0.05</v>
      </c>
      <c r="K54" s="1" t="str">
        <f>VLOOKUP(Operaciones[[#This Row],[Pais Destino]],Mercado[#All],4,0)</f>
        <v>Estratégico</v>
      </c>
      <c r="L54" s="1">
        <v>1450</v>
      </c>
      <c r="M54" s="1">
        <v>4.8</v>
      </c>
      <c r="N54" s="1">
        <f>Operaciones[[#This Row],[Unidades]]*Operaciones[[#This Row],[Precio FOB]]</f>
        <v>6960</v>
      </c>
      <c r="O54" s="1">
        <v>3.2</v>
      </c>
      <c r="P54" s="23">
        <f>Operaciones[[#This Row],[Unidades]]*Operaciones[[#This Row],[Costo Unitario]]</f>
        <v>4640</v>
      </c>
      <c r="Q54" s="9" t="s">
        <v>16</v>
      </c>
      <c r="R54" s="1">
        <f>Operaciones[[#This Row],[Valor FOB]]-Operaciones[[#This Row],[Costo total]]</f>
        <v>2320</v>
      </c>
      <c r="S54" s="26">
        <f>Operaciones[[#This Row],[Utilidad ]]/Operaciones[[#This Row],[Valor FOB]]</f>
        <v>0.33333333333333331</v>
      </c>
    </row>
    <row r="55" spans="2:19" x14ac:dyDescent="0.3">
      <c r="B55" s="8" t="s">
        <v>101</v>
      </c>
      <c r="C55" s="7">
        <v>46082</v>
      </c>
      <c r="D55" s="1" t="s">
        <v>8</v>
      </c>
      <c r="E55" s="5" t="s">
        <v>23</v>
      </c>
      <c r="F55" s="5" t="str">
        <f>VLOOKUP(Operaciones[[#This Row],[Código Producto]],Producto[#All],2,0)</f>
        <v>Cacao en grano</v>
      </c>
      <c r="G55" s="5" t="str">
        <f>VLOOKUP(Operaciones[[#This Row],[Código Producto]],Producto[#All],3,0)</f>
        <v>Cacao</v>
      </c>
      <c r="H55" s="1" t="s">
        <v>10</v>
      </c>
      <c r="I55" s="1" t="str">
        <f>VLOOKUP(Operaciones[[#This Row],[Pais Destino]],Mercado[#All],2,0)</f>
        <v>Centroamérica</v>
      </c>
      <c r="J55" s="1">
        <f>VLOOKUP(Operaciones[[#This Row],[Pais Destino]],Mercado[],3,0)</f>
        <v>0.03</v>
      </c>
      <c r="K55" s="1" t="str">
        <f>VLOOKUP(Operaciones[[#This Row],[Pais Destino]],Mercado[#All],4,0)</f>
        <v>Estratégico</v>
      </c>
      <c r="L55" s="1">
        <v>880</v>
      </c>
      <c r="M55" s="1">
        <v>7.1</v>
      </c>
      <c r="N55" s="1">
        <f>Operaciones[[#This Row],[Unidades]]*Operaciones[[#This Row],[Precio FOB]]</f>
        <v>6248</v>
      </c>
      <c r="O55" s="1">
        <v>4.8</v>
      </c>
      <c r="P55" s="23">
        <f>Operaciones[[#This Row],[Unidades]]*Operaciones[[#This Row],[Costo Unitario]]</f>
        <v>4224</v>
      </c>
      <c r="Q55" s="9" t="s">
        <v>25</v>
      </c>
      <c r="R55" s="1">
        <f>Operaciones[[#This Row],[Valor FOB]]-Operaciones[[#This Row],[Costo total]]</f>
        <v>2024</v>
      </c>
      <c r="S55" s="26">
        <f>Operaciones[[#This Row],[Utilidad ]]/Operaciones[[#This Row],[Valor FOB]]</f>
        <v>0.323943661971831</v>
      </c>
    </row>
    <row r="56" spans="2:19" x14ac:dyDescent="0.3">
      <c r="B56" s="8" t="s">
        <v>102</v>
      </c>
      <c r="C56" s="7">
        <v>46091</v>
      </c>
      <c r="D56" s="1" t="s">
        <v>18</v>
      </c>
      <c r="E56" s="5" t="s">
        <v>14</v>
      </c>
      <c r="F56" s="5" t="str">
        <f>VLOOKUP(Operaciones[[#This Row],[Código Producto]],Producto[#All],2,0)</f>
        <v>Café especial</v>
      </c>
      <c r="G56" s="5" t="str">
        <f>VLOOKUP(Operaciones[[#This Row],[Código Producto]],Producto[#All],3,0)</f>
        <v>Café</v>
      </c>
      <c r="H56" s="1" t="s">
        <v>20</v>
      </c>
      <c r="I56" s="1" t="str">
        <f>VLOOKUP(Operaciones[[#This Row],[Pais Destino]],Mercado[#All],2,0)</f>
        <v>Centroamérica</v>
      </c>
      <c r="J56" s="1">
        <f>VLOOKUP(Operaciones[[#This Row],[Pais Destino]],Mercado[],3,0)</f>
        <v>0.02</v>
      </c>
      <c r="K56" s="1" t="str">
        <f>VLOOKUP(Operaciones[[#This Row],[Pais Destino]],Mercado[#All],4,0)</f>
        <v>Estratégico</v>
      </c>
      <c r="L56" s="1">
        <v>970</v>
      </c>
      <c r="M56" s="1">
        <v>6.5</v>
      </c>
      <c r="N56" s="1">
        <f>Operaciones[[#This Row],[Unidades]]*Operaciones[[#This Row],[Precio FOB]]</f>
        <v>6305</v>
      </c>
      <c r="O56" s="1">
        <v>4.0999999999999996</v>
      </c>
      <c r="P56" s="23">
        <f>Operaciones[[#This Row],[Unidades]]*Operaciones[[#This Row],[Costo Unitario]]</f>
        <v>3976.9999999999995</v>
      </c>
      <c r="Q56" s="9" t="s">
        <v>11</v>
      </c>
      <c r="R56" s="1">
        <f>Operaciones[[#This Row],[Valor FOB]]-Operaciones[[#This Row],[Costo total]]</f>
        <v>2328.0000000000005</v>
      </c>
      <c r="S56" s="26">
        <f>Operaciones[[#This Row],[Utilidad ]]/Operaciones[[#This Row],[Valor FOB]]</f>
        <v>0.36923076923076931</v>
      </c>
    </row>
    <row r="57" spans="2:19" x14ac:dyDescent="0.3">
      <c r="B57" s="8" t="s">
        <v>103</v>
      </c>
      <c r="C57" s="7">
        <v>46100</v>
      </c>
      <c r="D57" s="1" t="s">
        <v>22</v>
      </c>
      <c r="E57" s="5" t="s">
        <v>19</v>
      </c>
      <c r="F57" s="5" t="str">
        <f>VLOOKUP(Operaciones[[#This Row],[Código Producto]],Producto[#All],2,0)</f>
        <v>Maní procesado</v>
      </c>
      <c r="G57" s="5" t="str">
        <f>VLOOKUP(Operaciones[[#This Row],[Código Producto]],Producto[#All],3,0)</f>
        <v>Semillas</v>
      </c>
      <c r="H57" s="1" t="s">
        <v>24</v>
      </c>
      <c r="I57" s="1" t="str">
        <f>VLOOKUP(Operaciones[[#This Row],[Pais Destino]],Mercado[#All],2,0)</f>
        <v>Europa</v>
      </c>
      <c r="J57" s="1">
        <f>VLOOKUP(Operaciones[[#This Row],[Pais Destino]],Mercado[],3,0)</f>
        <v>0.1</v>
      </c>
      <c r="K57" s="1" t="str">
        <f>VLOOKUP(Operaciones[[#This Row],[Pais Destino]],Mercado[#All],4,0)</f>
        <v>Potencial</v>
      </c>
      <c r="L57" s="1">
        <v>760</v>
      </c>
      <c r="M57" s="1">
        <v>8.1999999999999993</v>
      </c>
      <c r="N57" s="1">
        <f>Operaciones[[#This Row],[Unidades]]*Operaciones[[#This Row],[Precio FOB]]</f>
        <v>6231.9999999999991</v>
      </c>
      <c r="O57" s="1">
        <v>5.9</v>
      </c>
      <c r="P57" s="23">
        <f>Operaciones[[#This Row],[Unidades]]*Operaciones[[#This Row],[Costo Unitario]]</f>
        <v>4484</v>
      </c>
      <c r="Q57" s="9" t="s">
        <v>16</v>
      </c>
      <c r="R57" s="1">
        <f>Operaciones[[#This Row],[Valor FOB]]-Operaciones[[#This Row],[Costo total]]</f>
        <v>1747.9999999999991</v>
      </c>
      <c r="S57" s="26">
        <f>Operaciones[[#This Row],[Utilidad ]]/Operaciones[[#This Row],[Valor FOB]]</f>
        <v>0.2804878048780487</v>
      </c>
    </row>
    <row r="58" spans="2:19" x14ac:dyDescent="0.3">
      <c r="B58" s="8" t="s">
        <v>104</v>
      </c>
      <c r="C58" s="7">
        <v>46109</v>
      </c>
      <c r="D58" s="1" t="s">
        <v>27</v>
      </c>
      <c r="E58" s="5" t="s">
        <v>9</v>
      </c>
      <c r="F58" s="5" t="str">
        <f>VLOOKUP(Operaciones[[#This Row],[Código Producto]],Producto[#All],2,0)</f>
        <v>Miel natural</v>
      </c>
      <c r="G58" s="5" t="str">
        <f>VLOOKUP(Operaciones[[#This Row],[Código Producto]],Producto[#All],3,0)</f>
        <v>Apícola</v>
      </c>
      <c r="H58" s="1" t="s">
        <v>29</v>
      </c>
      <c r="I58" s="1" t="str">
        <f>VLOOKUP(Operaciones[[#This Row],[Pais Destino]],Mercado[#All],2,0)</f>
        <v>Norteamérica</v>
      </c>
      <c r="J58" s="1">
        <f>VLOOKUP(Operaciones[[#This Row],[Pais Destino]],Mercado[],3,0)</f>
        <v>0.08</v>
      </c>
      <c r="K58" s="1" t="str">
        <f>VLOOKUP(Operaciones[[#This Row],[Pais Destino]],Mercado[#All],4,0)</f>
        <v>Potencial</v>
      </c>
      <c r="L58" s="1">
        <v>620</v>
      </c>
      <c r="M58" s="1">
        <v>4.8</v>
      </c>
      <c r="N58" s="1">
        <f>Operaciones[[#This Row],[Unidades]]*Operaciones[[#This Row],[Precio FOB]]</f>
        <v>2976</v>
      </c>
      <c r="O58" s="1">
        <v>3.2</v>
      </c>
      <c r="P58" s="23">
        <f>Operaciones[[#This Row],[Unidades]]*Operaciones[[#This Row],[Costo Unitario]]</f>
        <v>1984</v>
      </c>
      <c r="Q58" s="9" t="s">
        <v>11</v>
      </c>
      <c r="R58" s="1">
        <f>Operaciones[[#This Row],[Valor FOB]]-Operaciones[[#This Row],[Costo total]]</f>
        <v>992</v>
      </c>
      <c r="S58" s="26">
        <f>Operaciones[[#This Row],[Utilidad ]]/Operaciones[[#This Row],[Valor FOB]]</f>
        <v>0.33333333333333331</v>
      </c>
    </row>
    <row r="59" spans="2:19" x14ac:dyDescent="0.3">
      <c r="B59" s="8" t="s">
        <v>105</v>
      </c>
      <c r="C59" s="7">
        <v>46118</v>
      </c>
      <c r="D59" s="1" t="s">
        <v>13</v>
      </c>
      <c r="E59" s="5" t="s">
        <v>28</v>
      </c>
      <c r="F59" s="5" t="str">
        <f>VLOOKUP(Operaciones[[#This Row],[Código Producto]],Producto[#All],2,0)</f>
        <v>Aceite de ajonjolí</v>
      </c>
      <c r="G59" s="5" t="str">
        <f>VLOOKUP(Operaciones[[#This Row],[Código Producto]],Producto[#All],3,0)</f>
        <v>Aceites</v>
      </c>
      <c r="H59" s="1" t="s">
        <v>15</v>
      </c>
      <c r="I59" s="1" t="str">
        <f>VLOOKUP(Operaciones[[#This Row],[Pais Destino]],Mercado[#All],2,0)</f>
        <v>Norteamérica</v>
      </c>
      <c r="J59" s="1">
        <f>VLOOKUP(Operaciones[[#This Row],[Pais Destino]],Mercado[],3,0)</f>
        <v>0.05</v>
      </c>
      <c r="K59" s="1" t="str">
        <f>VLOOKUP(Operaciones[[#This Row],[Pais Destino]],Mercado[#All],4,0)</f>
        <v>Estratégico</v>
      </c>
      <c r="L59" s="1">
        <v>820</v>
      </c>
      <c r="M59" s="1">
        <v>12.5</v>
      </c>
      <c r="N59" s="1">
        <f>Operaciones[[#This Row],[Unidades]]*Operaciones[[#This Row],[Precio FOB]]</f>
        <v>10250</v>
      </c>
      <c r="O59" s="1">
        <v>8.6999999999999993</v>
      </c>
      <c r="P59" s="23">
        <f>Operaciones[[#This Row],[Unidades]]*Operaciones[[#This Row],[Costo Unitario]]</f>
        <v>7133.9999999999991</v>
      </c>
      <c r="Q59" s="9" t="s">
        <v>16</v>
      </c>
      <c r="R59" s="1">
        <f>Operaciones[[#This Row],[Valor FOB]]-Operaciones[[#This Row],[Costo total]]</f>
        <v>3116.0000000000009</v>
      </c>
      <c r="S59" s="26">
        <f>Operaciones[[#This Row],[Utilidad ]]/Operaciones[[#This Row],[Valor FOB]]</f>
        <v>0.3040000000000001</v>
      </c>
    </row>
    <row r="60" spans="2:19" x14ac:dyDescent="0.3">
      <c r="B60" s="8" t="s">
        <v>106</v>
      </c>
      <c r="C60" s="7">
        <v>46127</v>
      </c>
      <c r="D60" s="1" t="s">
        <v>8</v>
      </c>
      <c r="E60" s="5" t="s">
        <v>14</v>
      </c>
      <c r="F60" s="5" t="str">
        <f>VLOOKUP(Operaciones[[#This Row],[Código Producto]],Producto[#All],2,0)</f>
        <v>Café especial</v>
      </c>
      <c r="G60" s="5" t="str">
        <f>VLOOKUP(Operaciones[[#This Row],[Código Producto]],Producto[#All],3,0)</f>
        <v>Café</v>
      </c>
      <c r="H60" s="1" t="s">
        <v>10</v>
      </c>
      <c r="I60" s="1" t="str">
        <f>VLOOKUP(Operaciones[[#This Row],[Pais Destino]],Mercado[#All],2,0)</f>
        <v>Centroamérica</v>
      </c>
      <c r="J60" s="1">
        <f>VLOOKUP(Operaciones[[#This Row],[Pais Destino]],Mercado[],3,0)</f>
        <v>0.03</v>
      </c>
      <c r="K60" s="1" t="str">
        <f>VLOOKUP(Operaciones[[#This Row],[Pais Destino]],Mercado[#All],4,0)</f>
        <v>Estratégico</v>
      </c>
      <c r="L60" s="1">
        <v>1250</v>
      </c>
      <c r="M60" s="1">
        <v>6.5</v>
      </c>
      <c r="N60" s="1">
        <f>Operaciones[[#This Row],[Unidades]]*Operaciones[[#This Row],[Precio FOB]]</f>
        <v>8125</v>
      </c>
      <c r="O60" s="1">
        <v>4.0999999999999996</v>
      </c>
      <c r="P60" s="23">
        <f>Operaciones[[#This Row],[Unidades]]*Operaciones[[#This Row],[Costo Unitario]]</f>
        <v>5125</v>
      </c>
      <c r="Q60" s="9" t="s">
        <v>16</v>
      </c>
      <c r="R60" s="1">
        <f>Operaciones[[#This Row],[Valor FOB]]-Operaciones[[#This Row],[Costo total]]</f>
        <v>3000</v>
      </c>
      <c r="S60" s="26">
        <f>Operaciones[[#This Row],[Utilidad ]]/Operaciones[[#This Row],[Valor FOB]]</f>
        <v>0.36923076923076925</v>
      </c>
    </row>
    <row r="61" spans="2:19" x14ac:dyDescent="0.3">
      <c r="B61" s="8" t="s">
        <v>107</v>
      </c>
      <c r="C61" s="7">
        <v>46136</v>
      </c>
      <c r="D61" s="1" t="s">
        <v>18</v>
      </c>
      <c r="E61" s="5" t="s">
        <v>23</v>
      </c>
      <c r="F61" s="5" t="str">
        <f>VLOOKUP(Operaciones[[#This Row],[Código Producto]],Producto[#All],2,0)</f>
        <v>Cacao en grano</v>
      </c>
      <c r="G61" s="5" t="str">
        <f>VLOOKUP(Operaciones[[#This Row],[Código Producto]],Producto[#All],3,0)</f>
        <v>Cacao</v>
      </c>
      <c r="H61" s="1" t="s">
        <v>20</v>
      </c>
      <c r="I61" s="1" t="str">
        <f>VLOOKUP(Operaciones[[#This Row],[Pais Destino]],Mercado[#All],2,0)</f>
        <v>Centroamérica</v>
      </c>
      <c r="J61" s="1">
        <f>VLOOKUP(Operaciones[[#This Row],[Pais Destino]],Mercado[],3,0)</f>
        <v>0.02</v>
      </c>
      <c r="K61" s="1" t="str">
        <f>VLOOKUP(Operaciones[[#This Row],[Pais Destino]],Mercado[#All],4,0)</f>
        <v>Estratégico</v>
      </c>
      <c r="L61" s="1">
        <v>790</v>
      </c>
      <c r="M61" s="1">
        <v>7.1</v>
      </c>
      <c r="N61" s="1">
        <f>Operaciones[[#This Row],[Unidades]]*Operaciones[[#This Row],[Precio FOB]]</f>
        <v>5609</v>
      </c>
      <c r="O61" s="1">
        <v>4.8</v>
      </c>
      <c r="P61" s="23">
        <f>Operaciones[[#This Row],[Unidades]]*Operaciones[[#This Row],[Costo Unitario]]</f>
        <v>3792</v>
      </c>
      <c r="Q61" s="9" t="s">
        <v>11</v>
      </c>
      <c r="R61" s="1">
        <f>Operaciones[[#This Row],[Valor FOB]]-Operaciones[[#This Row],[Costo total]]</f>
        <v>1817</v>
      </c>
      <c r="S61" s="26">
        <f>Operaciones[[#This Row],[Utilidad ]]/Operaciones[[#This Row],[Valor FOB]]</f>
        <v>0.323943661971831</v>
      </c>
    </row>
    <row r="62" spans="2:19" x14ac:dyDescent="0.3">
      <c r="B62" s="8" t="s">
        <v>108</v>
      </c>
      <c r="C62" s="7">
        <v>46145</v>
      </c>
      <c r="D62" s="1" t="s">
        <v>22</v>
      </c>
      <c r="E62" s="5" t="s">
        <v>9</v>
      </c>
      <c r="F62" s="5" t="str">
        <f>VLOOKUP(Operaciones[[#This Row],[Código Producto]],Producto[#All],2,0)</f>
        <v>Miel natural</v>
      </c>
      <c r="G62" s="5" t="str">
        <f>VLOOKUP(Operaciones[[#This Row],[Código Producto]],Producto[#All],3,0)</f>
        <v>Apícola</v>
      </c>
      <c r="H62" s="1" t="s">
        <v>24</v>
      </c>
      <c r="I62" s="1" t="str">
        <f>VLOOKUP(Operaciones[[#This Row],[Pais Destino]],Mercado[#All],2,0)</f>
        <v>Europa</v>
      </c>
      <c r="J62" s="1">
        <f>VLOOKUP(Operaciones[[#This Row],[Pais Destino]],Mercado[],3,0)</f>
        <v>0.1</v>
      </c>
      <c r="K62" s="1" t="str">
        <f>VLOOKUP(Operaciones[[#This Row],[Pais Destino]],Mercado[#All],4,0)</f>
        <v>Potencial</v>
      </c>
      <c r="L62" s="1">
        <v>980</v>
      </c>
      <c r="M62" s="1">
        <v>4.8</v>
      </c>
      <c r="N62" s="1">
        <f>Operaciones[[#This Row],[Unidades]]*Operaciones[[#This Row],[Precio FOB]]</f>
        <v>4704</v>
      </c>
      <c r="O62" s="1">
        <v>3.2</v>
      </c>
      <c r="P62" s="23">
        <f>Operaciones[[#This Row],[Unidades]]*Operaciones[[#This Row],[Costo Unitario]]</f>
        <v>3136</v>
      </c>
      <c r="Q62" s="9" t="s">
        <v>25</v>
      </c>
      <c r="R62" s="1">
        <f>Operaciones[[#This Row],[Valor FOB]]-Operaciones[[#This Row],[Costo total]]</f>
        <v>1568</v>
      </c>
      <c r="S62" s="26">
        <f>Operaciones[[#This Row],[Utilidad ]]/Operaciones[[#This Row],[Valor FOB]]</f>
        <v>0.33333333333333331</v>
      </c>
    </row>
    <row r="63" spans="2:19" x14ac:dyDescent="0.3">
      <c r="B63" s="8" t="s">
        <v>109</v>
      </c>
      <c r="C63" s="7">
        <v>46154</v>
      </c>
      <c r="D63" s="1" t="s">
        <v>27</v>
      </c>
      <c r="E63" s="5" t="s">
        <v>19</v>
      </c>
      <c r="F63" s="5" t="str">
        <f>VLOOKUP(Operaciones[[#This Row],[Código Producto]],Producto[#All],2,0)</f>
        <v>Maní procesado</v>
      </c>
      <c r="G63" s="5" t="str">
        <f>VLOOKUP(Operaciones[[#This Row],[Código Producto]],Producto[#All],3,0)</f>
        <v>Semillas</v>
      </c>
      <c r="H63" s="1" t="s">
        <v>29</v>
      </c>
      <c r="I63" s="1" t="str">
        <f>VLOOKUP(Operaciones[[#This Row],[Pais Destino]],Mercado[#All],2,0)</f>
        <v>Norteamérica</v>
      </c>
      <c r="J63" s="1">
        <f>VLOOKUP(Operaciones[[#This Row],[Pais Destino]],Mercado[],3,0)</f>
        <v>0.08</v>
      </c>
      <c r="K63" s="1" t="str">
        <f>VLOOKUP(Operaciones[[#This Row],[Pais Destino]],Mercado[#All],4,0)</f>
        <v>Potencial</v>
      </c>
      <c r="L63" s="1">
        <v>730</v>
      </c>
      <c r="M63" s="1">
        <v>8.1999999999999993</v>
      </c>
      <c r="N63" s="1">
        <f>Operaciones[[#This Row],[Unidades]]*Operaciones[[#This Row],[Precio FOB]]</f>
        <v>5985.9999999999991</v>
      </c>
      <c r="O63" s="1">
        <v>5.9</v>
      </c>
      <c r="P63" s="23">
        <f>Operaciones[[#This Row],[Unidades]]*Operaciones[[#This Row],[Costo Unitario]]</f>
        <v>4307</v>
      </c>
      <c r="Q63" s="9" t="s">
        <v>16</v>
      </c>
      <c r="R63" s="1">
        <f>Operaciones[[#This Row],[Valor FOB]]-Operaciones[[#This Row],[Costo total]]</f>
        <v>1678.9999999999991</v>
      </c>
      <c r="S63" s="26">
        <f>Operaciones[[#This Row],[Utilidad ]]/Operaciones[[#This Row],[Valor FOB]]</f>
        <v>0.2804878048780487</v>
      </c>
    </row>
    <row r="64" spans="2:19" x14ac:dyDescent="0.3">
      <c r="B64" s="8" t="s">
        <v>110</v>
      </c>
      <c r="C64" s="7">
        <v>46163</v>
      </c>
      <c r="D64" s="1" t="s">
        <v>13</v>
      </c>
      <c r="E64" s="5" t="s">
        <v>14</v>
      </c>
      <c r="F64" s="5" t="str">
        <f>VLOOKUP(Operaciones[[#This Row],[Código Producto]],Producto[#All],2,0)</f>
        <v>Café especial</v>
      </c>
      <c r="G64" s="5" t="str">
        <f>VLOOKUP(Operaciones[[#This Row],[Código Producto]],Producto[#All],3,0)</f>
        <v>Café</v>
      </c>
      <c r="H64" s="1" t="s">
        <v>15</v>
      </c>
      <c r="I64" s="1" t="str">
        <f>VLOOKUP(Operaciones[[#This Row],[Pais Destino]],Mercado[#All],2,0)</f>
        <v>Norteamérica</v>
      </c>
      <c r="J64" s="1">
        <f>VLOOKUP(Operaciones[[#This Row],[Pais Destino]],Mercado[],3,0)</f>
        <v>0.05</v>
      </c>
      <c r="K64" s="1" t="str">
        <f>VLOOKUP(Operaciones[[#This Row],[Pais Destino]],Mercado[#All],4,0)</f>
        <v>Estratégico</v>
      </c>
      <c r="L64" s="1">
        <v>1320</v>
      </c>
      <c r="M64" s="1">
        <v>6.5</v>
      </c>
      <c r="N64" s="1">
        <f>Operaciones[[#This Row],[Unidades]]*Operaciones[[#This Row],[Precio FOB]]</f>
        <v>8580</v>
      </c>
      <c r="O64" s="1">
        <v>4.0999999999999996</v>
      </c>
      <c r="P64" s="23">
        <f>Operaciones[[#This Row],[Unidades]]*Operaciones[[#This Row],[Costo Unitario]]</f>
        <v>5411.9999999999991</v>
      </c>
      <c r="Q64" s="9" t="s">
        <v>11</v>
      </c>
      <c r="R64" s="1">
        <f>Operaciones[[#This Row],[Valor FOB]]-Operaciones[[#This Row],[Costo total]]</f>
        <v>3168.0000000000009</v>
      </c>
      <c r="S64" s="26">
        <f>Operaciones[[#This Row],[Utilidad ]]/Operaciones[[#This Row],[Valor FOB]]</f>
        <v>0.36923076923076936</v>
      </c>
    </row>
    <row r="65" spans="2:19" x14ac:dyDescent="0.3">
      <c r="B65" s="8" t="s">
        <v>111</v>
      </c>
      <c r="C65" s="7">
        <v>46172</v>
      </c>
      <c r="D65" s="1" t="s">
        <v>8</v>
      </c>
      <c r="E65" s="5" t="s">
        <v>28</v>
      </c>
      <c r="F65" s="5" t="str">
        <f>VLOOKUP(Operaciones[[#This Row],[Código Producto]],Producto[#All],2,0)</f>
        <v>Aceite de ajonjolí</v>
      </c>
      <c r="G65" s="5" t="str">
        <f>VLOOKUP(Operaciones[[#This Row],[Código Producto]],Producto[#All],3,0)</f>
        <v>Aceites</v>
      </c>
      <c r="H65" s="1" t="s">
        <v>10</v>
      </c>
      <c r="I65" s="1" t="str">
        <f>VLOOKUP(Operaciones[[#This Row],[Pais Destino]],Mercado[#All],2,0)</f>
        <v>Centroamérica</v>
      </c>
      <c r="J65" s="1">
        <f>VLOOKUP(Operaciones[[#This Row],[Pais Destino]],Mercado[],3,0)</f>
        <v>0.03</v>
      </c>
      <c r="K65" s="1" t="str">
        <f>VLOOKUP(Operaciones[[#This Row],[Pais Destino]],Mercado[#All],4,0)</f>
        <v>Estratégico</v>
      </c>
      <c r="L65" s="1">
        <v>470</v>
      </c>
      <c r="M65" s="1">
        <v>12.5</v>
      </c>
      <c r="N65" s="1">
        <f>Operaciones[[#This Row],[Unidades]]*Operaciones[[#This Row],[Precio FOB]]</f>
        <v>5875</v>
      </c>
      <c r="O65" s="1">
        <v>8.6999999999999993</v>
      </c>
      <c r="P65" s="23">
        <f>Operaciones[[#This Row],[Unidades]]*Operaciones[[#This Row],[Costo Unitario]]</f>
        <v>4088.9999999999995</v>
      </c>
      <c r="Q65" s="9" t="s">
        <v>16</v>
      </c>
      <c r="R65" s="1">
        <f>Operaciones[[#This Row],[Valor FOB]]-Operaciones[[#This Row],[Costo total]]</f>
        <v>1786.0000000000005</v>
      </c>
      <c r="S65" s="26">
        <f>Operaciones[[#This Row],[Utilidad ]]/Operaciones[[#This Row],[Valor FOB]]</f>
        <v>0.3040000000000001</v>
      </c>
    </row>
    <row r="66" spans="2:19" x14ac:dyDescent="0.3">
      <c r="B66" s="8" t="s">
        <v>112</v>
      </c>
      <c r="C66" s="7">
        <v>46181</v>
      </c>
      <c r="D66" s="1" t="s">
        <v>18</v>
      </c>
      <c r="E66" s="5" t="s">
        <v>9</v>
      </c>
      <c r="F66" s="5" t="str">
        <f>VLOOKUP(Operaciones[[#This Row],[Código Producto]],Producto[#All],2,0)</f>
        <v>Miel natural</v>
      </c>
      <c r="G66" s="5" t="str">
        <f>VLOOKUP(Operaciones[[#This Row],[Código Producto]],Producto[#All],3,0)</f>
        <v>Apícola</v>
      </c>
      <c r="H66" s="1" t="s">
        <v>20</v>
      </c>
      <c r="I66" s="1" t="str">
        <f>VLOOKUP(Operaciones[[#This Row],[Pais Destino]],Mercado[#All],2,0)</f>
        <v>Centroamérica</v>
      </c>
      <c r="J66" s="1">
        <f>VLOOKUP(Operaciones[[#This Row],[Pais Destino]],Mercado[],3,0)</f>
        <v>0.02</v>
      </c>
      <c r="K66" s="1" t="str">
        <f>VLOOKUP(Operaciones[[#This Row],[Pais Destino]],Mercado[#All],4,0)</f>
        <v>Estratégico</v>
      </c>
      <c r="L66" s="1">
        <v>860</v>
      </c>
      <c r="M66" s="1">
        <v>4.8</v>
      </c>
      <c r="N66" s="1">
        <f>Operaciones[[#This Row],[Unidades]]*Operaciones[[#This Row],[Precio FOB]]</f>
        <v>4128</v>
      </c>
      <c r="O66" s="1">
        <v>3.2</v>
      </c>
      <c r="P66" s="23">
        <f>Operaciones[[#This Row],[Unidades]]*Operaciones[[#This Row],[Costo Unitario]]</f>
        <v>2752</v>
      </c>
      <c r="Q66" s="9" t="s">
        <v>16</v>
      </c>
      <c r="R66" s="1">
        <f>Operaciones[[#This Row],[Valor FOB]]-Operaciones[[#This Row],[Costo total]]</f>
        <v>1376</v>
      </c>
      <c r="S66" s="26">
        <f>Operaciones[[#This Row],[Utilidad ]]/Operaciones[[#This Row],[Valor FOB]]</f>
        <v>0.33333333333333331</v>
      </c>
    </row>
    <row r="67" spans="2:19" x14ac:dyDescent="0.3">
      <c r="B67" s="8" t="s">
        <v>113</v>
      </c>
      <c r="C67" s="7">
        <v>46190</v>
      </c>
      <c r="D67" s="1" t="s">
        <v>22</v>
      </c>
      <c r="E67" s="5" t="s">
        <v>23</v>
      </c>
      <c r="F67" s="5" t="str">
        <f>VLOOKUP(Operaciones[[#This Row],[Código Producto]],Producto[#All],2,0)</f>
        <v>Cacao en grano</v>
      </c>
      <c r="G67" s="5" t="str">
        <f>VLOOKUP(Operaciones[[#This Row],[Código Producto]],Producto[#All],3,0)</f>
        <v>Cacao</v>
      </c>
      <c r="H67" s="1" t="s">
        <v>24</v>
      </c>
      <c r="I67" s="1" t="str">
        <f>VLOOKUP(Operaciones[[#This Row],[Pais Destino]],Mercado[#All],2,0)</f>
        <v>Europa</v>
      </c>
      <c r="J67" s="1">
        <f>VLOOKUP(Operaciones[[#This Row],[Pais Destino]],Mercado[],3,0)</f>
        <v>0.1</v>
      </c>
      <c r="K67" s="1" t="str">
        <f>VLOOKUP(Operaciones[[#This Row],[Pais Destino]],Mercado[#All],4,0)</f>
        <v>Potencial</v>
      </c>
      <c r="L67" s="1">
        <v>1040</v>
      </c>
      <c r="M67" s="1">
        <v>7.1</v>
      </c>
      <c r="N67" s="1">
        <f>Operaciones[[#This Row],[Unidades]]*Operaciones[[#This Row],[Precio FOB]]</f>
        <v>7384</v>
      </c>
      <c r="O67" s="1">
        <v>4.8</v>
      </c>
      <c r="P67" s="23">
        <f>Operaciones[[#This Row],[Unidades]]*Operaciones[[#This Row],[Costo Unitario]]</f>
        <v>4992</v>
      </c>
      <c r="Q67" s="9" t="s">
        <v>11</v>
      </c>
      <c r="R67" s="1">
        <f>Operaciones[[#This Row],[Valor FOB]]-Operaciones[[#This Row],[Costo total]]</f>
        <v>2392</v>
      </c>
      <c r="S67" s="26">
        <f>Operaciones[[#This Row],[Utilidad ]]/Operaciones[[#This Row],[Valor FOB]]</f>
        <v>0.323943661971831</v>
      </c>
    </row>
    <row r="68" spans="2:19" x14ac:dyDescent="0.3">
      <c r="B68" s="8" t="s">
        <v>114</v>
      </c>
      <c r="C68" s="7">
        <v>46199</v>
      </c>
      <c r="D68" s="1" t="s">
        <v>27</v>
      </c>
      <c r="E68" s="5" t="s">
        <v>14</v>
      </c>
      <c r="F68" s="5" t="str">
        <f>VLOOKUP(Operaciones[[#This Row],[Código Producto]],Producto[#All],2,0)</f>
        <v>Café especial</v>
      </c>
      <c r="G68" s="5" t="str">
        <f>VLOOKUP(Operaciones[[#This Row],[Código Producto]],Producto[#All],3,0)</f>
        <v>Café</v>
      </c>
      <c r="H68" s="1" t="s">
        <v>29</v>
      </c>
      <c r="I68" s="1" t="str">
        <f>VLOOKUP(Operaciones[[#This Row],[Pais Destino]],Mercado[#All],2,0)</f>
        <v>Norteamérica</v>
      </c>
      <c r="J68" s="1">
        <f>VLOOKUP(Operaciones[[#This Row],[Pais Destino]],Mercado[],3,0)</f>
        <v>0.08</v>
      </c>
      <c r="K68" s="1" t="str">
        <f>VLOOKUP(Operaciones[[#This Row],[Pais Destino]],Mercado[#All],4,0)</f>
        <v>Potencial</v>
      </c>
      <c r="L68" s="1">
        <v>890</v>
      </c>
      <c r="M68" s="1">
        <v>6.5</v>
      </c>
      <c r="N68" s="1">
        <f>Operaciones[[#This Row],[Unidades]]*Operaciones[[#This Row],[Precio FOB]]</f>
        <v>5785</v>
      </c>
      <c r="O68" s="1">
        <v>4.0999999999999996</v>
      </c>
      <c r="P68" s="23">
        <f>Operaciones[[#This Row],[Unidades]]*Operaciones[[#This Row],[Costo Unitario]]</f>
        <v>3648.9999999999995</v>
      </c>
      <c r="Q68" s="9" t="s">
        <v>25</v>
      </c>
      <c r="R68" s="1">
        <f>Operaciones[[#This Row],[Valor FOB]]-Operaciones[[#This Row],[Costo total]]</f>
        <v>2136.0000000000005</v>
      </c>
      <c r="S68" s="26">
        <f>Operaciones[[#This Row],[Utilidad ]]/Operaciones[[#This Row],[Valor FOB]]</f>
        <v>0.36923076923076931</v>
      </c>
    </row>
    <row r="69" spans="2:19" x14ac:dyDescent="0.3">
      <c r="B69" s="8" t="s">
        <v>115</v>
      </c>
      <c r="C69" s="7">
        <v>46208</v>
      </c>
      <c r="D69" s="1" t="s">
        <v>13</v>
      </c>
      <c r="E69" s="5" t="s">
        <v>19</v>
      </c>
      <c r="F69" s="5" t="str">
        <f>VLOOKUP(Operaciones[[#This Row],[Código Producto]],Producto[#All],2,0)</f>
        <v>Maní procesado</v>
      </c>
      <c r="G69" s="5" t="str">
        <f>VLOOKUP(Operaciones[[#This Row],[Código Producto]],Producto[#All],3,0)</f>
        <v>Semillas</v>
      </c>
      <c r="H69" s="1" t="s">
        <v>15</v>
      </c>
      <c r="I69" s="1" t="str">
        <f>VLOOKUP(Operaciones[[#This Row],[Pais Destino]],Mercado[#All],2,0)</f>
        <v>Norteamérica</v>
      </c>
      <c r="J69" s="1">
        <f>VLOOKUP(Operaciones[[#This Row],[Pais Destino]],Mercado[],3,0)</f>
        <v>0.05</v>
      </c>
      <c r="K69" s="1" t="str">
        <f>VLOOKUP(Operaciones[[#This Row],[Pais Destino]],Mercado[#All],4,0)</f>
        <v>Estratégico</v>
      </c>
      <c r="L69" s="1">
        <v>1170</v>
      </c>
      <c r="M69" s="1">
        <v>8.1999999999999993</v>
      </c>
      <c r="N69" s="1">
        <f>Operaciones[[#This Row],[Unidades]]*Operaciones[[#This Row],[Precio FOB]]</f>
        <v>9594</v>
      </c>
      <c r="O69" s="1">
        <v>5.9</v>
      </c>
      <c r="P69" s="23">
        <f>Operaciones[[#This Row],[Unidades]]*Operaciones[[#This Row],[Costo Unitario]]</f>
        <v>6903</v>
      </c>
      <c r="Q69" s="9" t="s">
        <v>16</v>
      </c>
      <c r="R69" s="1">
        <f>Operaciones[[#This Row],[Valor FOB]]-Operaciones[[#This Row],[Costo total]]</f>
        <v>2691</v>
      </c>
      <c r="S69" s="26">
        <f>Operaciones[[#This Row],[Utilidad ]]/Operaciones[[#This Row],[Valor FOB]]</f>
        <v>0.28048780487804881</v>
      </c>
    </row>
    <row r="70" spans="2:19" x14ac:dyDescent="0.3">
      <c r="B70" s="8" t="s">
        <v>116</v>
      </c>
      <c r="C70" s="7">
        <v>46217</v>
      </c>
      <c r="D70" s="1" t="s">
        <v>8</v>
      </c>
      <c r="E70" s="5" t="s">
        <v>9</v>
      </c>
      <c r="F70" s="5" t="str">
        <f>VLOOKUP(Operaciones[[#This Row],[Código Producto]],Producto[#All],2,0)</f>
        <v>Miel natural</v>
      </c>
      <c r="G70" s="5" t="str">
        <f>VLOOKUP(Operaciones[[#This Row],[Código Producto]],Producto[#All],3,0)</f>
        <v>Apícola</v>
      </c>
      <c r="H70" s="1" t="s">
        <v>10</v>
      </c>
      <c r="I70" s="1" t="str">
        <f>VLOOKUP(Operaciones[[#This Row],[Pais Destino]],Mercado[#All],2,0)</f>
        <v>Centroamérica</v>
      </c>
      <c r="J70" s="1">
        <f>VLOOKUP(Operaciones[[#This Row],[Pais Destino]],Mercado[],3,0)</f>
        <v>0.03</v>
      </c>
      <c r="K70" s="1" t="str">
        <f>VLOOKUP(Operaciones[[#This Row],[Pais Destino]],Mercado[#All],4,0)</f>
        <v>Estratégico</v>
      </c>
      <c r="L70" s="1">
        <v>760</v>
      </c>
      <c r="M70" s="1">
        <v>4.8</v>
      </c>
      <c r="N70" s="1">
        <f>Operaciones[[#This Row],[Unidades]]*Operaciones[[#This Row],[Precio FOB]]</f>
        <v>3648</v>
      </c>
      <c r="O70" s="1">
        <v>3.2</v>
      </c>
      <c r="P70" s="23">
        <f>Operaciones[[#This Row],[Unidades]]*Operaciones[[#This Row],[Costo Unitario]]</f>
        <v>2432</v>
      </c>
      <c r="Q70" s="9" t="s">
        <v>11</v>
      </c>
      <c r="R70" s="1">
        <f>Operaciones[[#This Row],[Valor FOB]]-Operaciones[[#This Row],[Costo total]]</f>
        <v>1216</v>
      </c>
      <c r="S70" s="26">
        <f>Operaciones[[#This Row],[Utilidad ]]/Operaciones[[#This Row],[Valor FOB]]</f>
        <v>0.33333333333333331</v>
      </c>
    </row>
    <row r="71" spans="2:19" x14ac:dyDescent="0.3">
      <c r="B71" s="8" t="s">
        <v>117</v>
      </c>
      <c r="C71" s="7">
        <v>46226</v>
      </c>
      <c r="D71" s="1" t="s">
        <v>18</v>
      </c>
      <c r="E71" s="5" t="s">
        <v>28</v>
      </c>
      <c r="F71" s="5" t="str">
        <f>VLOOKUP(Operaciones[[#This Row],[Código Producto]],Producto[#All],2,0)</f>
        <v>Aceite de ajonjolí</v>
      </c>
      <c r="G71" s="5" t="str">
        <f>VLOOKUP(Operaciones[[#This Row],[Código Producto]],Producto[#All],3,0)</f>
        <v>Aceites</v>
      </c>
      <c r="H71" s="1" t="s">
        <v>20</v>
      </c>
      <c r="I71" s="1" t="str">
        <f>VLOOKUP(Operaciones[[#This Row],[Pais Destino]],Mercado[#All],2,0)</f>
        <v>Centroamérica</v>
      </c>
      <c r="J71" s="1">
        <f>VLOOKUP(Operaciones[[#This Row],[Pais Destino]],Mercado[],3,0)</f>
        <v>0.02</v>
      </c>
      <c r="K71" s="1" t="str">
        <f>VLOOKUP(Operaciones[[#This Row],[Pais Destino]],Mercado[#All],4,0)</f>
        <v>Estratégico</v>
      </c>
      <c r="L71" s="1">
        <v>540</v>
      </c>
      <c r="M71" s="1">
        <v>12.5</v>
      </c>
      <c r="N71" s="1">
        <f>Operaciones[[#This Row],[Unidades]]*Operaciones[[#This Row],[Precio FOB]]</f>
        <v>6750</v>
      </c>
      <c r="O71" s="1">
        <v>8.6999999999999993</v>
      </c>
      <c r="P71" s="23">
        <f>Operaciones[[#This Row],[Unidades]]*Operaciones[[#This Row],[Costo Unitario]]</f>
        <v>4698</v>
      </c>
      <c r="Q71" s="9" t="s">
        <v>16</v>
      </c>
      <c r="R71" s="1">
        <f>Operaciones[[#This Row],[Valor FOB]]-Operaciones[[#This Row],[Costo total]]</f>
        <v>2052</v>
      </c>
      <c r="S71" s="26">
        <f>Operaciones[[#This Row],[Utilidad ]]/Operaciones[[#This Row],[Valor FOB]]</f>
        <v>0.30399999999999999</v>
      </c>
    </row>
    <row r="72" spans="2:19" x14ac:dyDescent="0.3">
      <c r="B72" s="8" t="s">
        <v>118</v>
      </c>
      <c r="C72" s="7">
        <v>46235</v>
      </c>
      <c r="D72" s="1" t="s">
        <v>22</v>
      </c>
      <c r="E72" s="5" t="s">
        <v>14</v>
      </c>
      <c r="F72" s="5" t="str">
        <f>VLOOKUP(Operaciones[[#This Row],[Código Producto]],Producto[#All],2,0)</f>
        <v>Café especial</v>
      </c>
      <c r="G72" s="5" t="str">
        <f>VLOOKUP(Operaciones[[#This Row],[Código Producto]],Producto[#All],3,0)</f>
        <v>Café</v>
      </c>
      <c r="H72" s="1" t="s">
        <v>24</v>
      </c>
      <c r="I72" s="1" t="str">
        <f>VLOOKUP(Operaciones[[#This Row],[Pais Destino]],Mercado[#All],2,0)</f>
        <v>Europa</v>
      </c>
      <c r="J72" s="1">
        <f>VLOOKUP(Operaciones[[#This Row],[Pais Destino]],Mercado[],3,0)</f>
        <v>0.1</v>
      </c>
      <c r="K72" s="1" t="str">
        <f>VLOOKUP(Operaciones[[#This Row],[Pais Destino]],Mercado[#All],4,0)</f>
        <v>Potencial</v>
      </c>
      <c r="L72" s="1">
        <v>1280</v>
      </c>
      <c r="M72" s="1">
        <v>6.5</v>
      </c>
      <c r="N72" s="1">
        <f>Operaciones[[#This Row],[Unidades]]*Operaciones[[#This Row],[Precio FOB]]</f>
        <v>8320</v>
      </c>
      <c r="O72" s="1">
        <v>4.0999999999999996</v>
      </c>
      <c r="P72" s="23">
        <f>Operaciones[[#This Row],[Unidades]]*Operaciones[[#This Row],[Costo Unitario]]</f>
        <v>5248</v>
      </c>
      <c r="Q72" s="9" t="s">
        <v>11</v>
      </c>
      <c r="R72" s="1">
        <f>Operaciones[[#This Row],[Valor FOB]]-Operaciones[[#This Row],[Costo total]]</f>
        <v>3072</v>
      </c>
      <c r="S72" s="26">
        <f>Operaciones[[#This Row],[Utilidad ]]/Operaciones[[#This Row],[Valor FOB]]</f>
        <v>0.36923076923076925</v>
      </c>
    </row>
    <row r="73" spans="2:19" x14ac:dyDescent="0.3">
      <c r="B73" s="8" t="s">
        <v>119</v>
      </c>
      <c r="C73" s="7">
        <v>46244</v>
      </c>
      <c r="D73" s="1" t="s">
        <v>27</v>
      </c>
      <c r="E73" s="5" t="s">
        <v>23</v>
      </c>
      <c r="F73" s="5" t="str">
        <f>VLOOKUP(Operaciones[[#This Row],[Código Producto]],Producto[#All],2,0)</f>
        <v>Cacao en grano</v>
      </c>
      <c r="G73" s="5" t="str">
        <f>VLOOKUP(Operaciones[[#This Row],[Código Producto]],Producto[#All],3,0)</f>
        <v>Cacao</v>
      </c>
      <c r="H73" s="1" t="s">
        <v>29</v>
      </c>
      <c r="I73" s="1" t="str">
        <f>VLOOKUP(Operaciones[[#This Row],[Pais Destino]],Mercado[#All],2,0)</f>
        <v>Norteamérica</v>
      </c>
      <c r="J73" s="1">
        <f>VLOOKUP(Operaciones[[#This Row],[Pais Destino]],Mercado[],3,0)</f>
        <v>0.08</v>
      </c>
      <c r="K73" s="1" t="str">
        <f>VLOOKUP(Operaciones[[#This Row],[Pais Destino]],Mercado[#All],4,0)</f>
        <v>Potencial</v>
      </c>
      <c r="L73" s="1">
        <v>930</v>
      </c>
      <c r="M73" s="1">
        <v>7.1</v>
      </c>
      <c r="N73" s="1">
        <f>Operaciones[[#This Row],[Unidades]]*Operaciones[[#This Row],[Precio FOB]]</f>
        <v>6603</v>
      </c>
      <c r="O73" s="1">
        <v>4.8</v>
      </c>
      <c r="P73" s="23">
        <f>Operaciones[[#This Row],[Unidades]]*Operaciones[[#This Row],[Costo Unitario]]</f>
        <v>4464</v>
      </c>
      <c r="Q73" s="9" t="s">
        <v>16</v>
      </c>
      <c r="R73" s="1">
        <f>Operaciones[[#This Row],[Valor FOB]]-Operaciones[[#This Row],[Costo total]]</f>
        <v>2139</v>
      </c>
      <c r="S73" s="26">
        <f>Operaciones[[#This Row],[Utilidad ]]/Operaciones[[#This Row],[Valor FOB]]</f>
        <v>0.323943661971831</v>
      </c>
    </row>
    <row r="74" spans="2:19" x14ac:dyDescent="0.3">
      <c r="B74" s="8" t="s">
        <v>120</v>
      </c>
      <c r="C74" s="7">
        <v>46253</v>
      </c>
      <c r="D74" s="1" t="s">
        <v>13</v>
      </c>
      <c r="E74" s="5" t="s">
        <v>9</v>
      </c>
      <c r="F74" s="5" t="str">
        <f>VLOOKUP(Operaciones[[#This Row],[Código Producto]],Producto[#All],2,0)</f>
        <v>Miel natural</v>
      </c>
      <c r="G74" s="5" t="str">
        <f>VLOOKUP(Operaciones[[#This Row],[Código Producto]],Producto[#All],3,0)</f>
        <v>Apícola</v>
      </c>
      <c r="H74" s="1" t="s">
        <v>15</v>
      </c>
      <c r="I74" s="1" t="str">
        <f>VLOOKUP(Operaciones[[#This Row],[Pais Destino]],Mercado[#All],2,0)</f>
        <v>Norteamérica</v>
      </c>
      <c r="J74" s="1">
        <f>VLOOKUP(Operaciones[[#This Row],[Pais Destino]],Mercado[],3,0)</f>
        <v>0.05</v>
      </c>
      <c r="K74" s="1" t="str">
        <f>VLOOKUP(Operaciones[[#This Row],[Pais Destino]],Mercado[#All],4,0)</f>
        <v>Estratégico</v>
      </c>
      <c r="L74" s="1">
        <v>1550</v>
      </c>
      <c r="M74" s="1">
        <v>4.8</v>
      </c>
      <c r="N74" s="1">
        <f>Operaciones[[#This Row],[Unidades]]*Operaciones[[#This Row],[Precio FOB]]</f>
        <v>7440</v>
      </c>
      <c r="O74" s="1">
        <v>3.2</v>
      </c>
      <c r="P74" s="23">
        <f>Operaciones[[#This Row],[Unidades]]*Operaciones[[#This Row],[Costo Unitario]]</f>
        <v>4960</v>
      </c>
      <c r="Q74" s="9" t="s">
        <v>16</v>
      </c>
      <c r="R74" s="1">
        <f>Operaciones[[#This Row],[Valor FOB]]-Operaciones[[#This Row],[Costo total]]</f>
        <v>2480</v>
      </c>
      <c r="S74" s="26">
        <f>Operaciones[[#This Row],[Utilidad ]]/Operaciones[[#This Row],[Valor FOB]]</f>
        <v>0.33333333333333331</v>
      </c>
    </row>
    <row r="75" spans="2:19" x14ac:dyDescent="0.3">
      <c r="B75" s="8" t="s">
        <v>121</v>
      </c>
      <c r="C75" s="7">
        <v>46262</v>
      </c>
      <c r="D75" s="1" t="s">
        <v>8</v>
      </c>
      <c r="E75" s="5" t="s">
        <v>19</v>
      </c>
      <c r="F75" s="5" t="str">
        <f>VLOOKUP(Operaciones[[#This Row],[Código Producto]],Producto[#All],2,0)</f>
        <v>Maní procesado</v>
      </c>
      <c r="G75" s="5" t="str">
        <f>VLOOKUP(Operaciones[[#This Row],[Código Producto]],Producto[#All],3,0)</f>
        <v>Semillas</v>
      </c>
      <c r="H75" s="1" t="s">
        <v>10</v>
      </c>
      <c r="I75" s="1" t="str">
        <f>VLOOKUP(Operaciones[[#This Row],[Pais Destino]],Mercado[#All],2,0)</f>
        <v>Centroamérica</v>
      </c>
      <c r="J75" s="1">
        <f>VLOOKUP(Operaciones[[#This Row],[Pais Destino]],Mercado[],3,0)</f>
        <v>0.03</v>
      </c>
      <c r="K75" s="1" t="str">
        <f>VLOOKUP(Operaciones[[#This Row],[Pais Destino]],Mercado[#All],4,0)</f>
        <v>Estratégico</v>
      </c>
      <c r="L75" s="1">
        <v>690</v>
      </c>
      <c r="M75" s="1">
        <v>8.1999999999999993</v>
      </c>
      <c r="N75" s="1">
        <f>Operaciones[[#This Row],[Unidades]]*Operaciones[[#This Row],[Precio FOB]]</f>
        <v>5657.9999999999991</v>
      </c>
      <c r="O75" s="1">
        <v>5.9</v>
      </c>
      <c r="P75" s="23">
        <f>Operaciones[[#This Row],[Unidades]]*Operaciones[[#This Row],[Costo Unitario]]</f>
        <v>4071.0000000000005</v>
      </c>
      <c r="Q75" s="9" t="s">
        <v>25</v>
      </c>
      <c r="R75" s="1">
        <f>Operaciones[[#This Row],[Valor FOB]]-Operaciones[[#This Row],[Costo total]]</f>
        <v>1586.9999999999986</v>
      </c>
      <c r="S75" s="26">
        <f>Operaciones[[#This Row],[Utilidad ]]/Operaciones[[#This Row],[Valor FOB]]</f>
        <v>0.28048780487804859</v>
      </c>
    </row>
    <row r="76" spans="2:19" x14ac:dyDescent="0.3">
      <c r="B76" s="8" t="s">
        <v>122</v>
      </c>
      <c r="C76" s="7">
        <v>46271</v>
      </c>
      <c r="D76" s="1" t="s">
        <v>18</v>
      </c>
      <c r="E76" s="5" t="s">
        <v>14</v>
      </c>
      <c r="F76" s="5" t="str">
        <f>VLOOKUP(Operaciones[[#This Row],[Código Producto]],Producto[#All],2,0)</f>
        <v>Café especial</v>
      </c>
      <c r="G76" s="5" t="str">
        <f>VLOOKUP(Operaciones[[#This Row],[Código Producto]],Producto[#All],3,0)</f>
        <v>Café</v>
      </c>
      <c r="H76" s="1" t="s">
        <v>20</v>
      </c>
      <c r="I76" s="1" t="str">
        <f>VLOOKUP(Operaciones[[#This Row],[Pais Destino]],Mercado[#All],2,0)</f>
        <v>Centroamérica</v>
      </c>
      <c r="J76" s="1">
        <f>VLOOKUP(Operaciones[[#This Row],[Pais Destino]],Mercado[],3,0)</f>
        <v>0.02</v>
      </c>
      <c r="K76" s="1" t="str">
        <f>VLOOKUP(Operaciones[[#This Row],[Pais Destino]],Mercado[#All],4,0)</f>
        <v>Estratégico</v>
      </c>
      <c r="L76" s="1">
        <v>1020</v>
      </c>
      <c r="M76" s="1">
        <v>6.5</v>
      </c>
      <c r="N76" s="1">
        <f>Operaciones[[#This Row],[Unidades]]*Operaciones[[#This Row],[Precio FOB]]</f>
        <v>6630</v>
      </c>
      <c r="O76" s="1">
        <v>4.0999999999999996</v>
      </c>
      <c r="P76" s="23">
        <f>Operaciones[[#This Row],[Unidades]]*Operaciones[[#This Row],[Costo Unitario]]</f>
        <v>4182</v>
      </c>
      <c r="Q76" s="9" t="s">
        <v>11</v>
      </c>
      <c r="R76" s="1">
        <f>Operaciones[[#This Row],[Valor FOB]]-Operaciones[[#This Row],[Costo total]]</f>
        <v>2448</v>
      </c>
      <c r="S76" s="26">
        <f>Operaciones[[#This Row],[Utilidad ]]/Operaciones[[#This Row],[Valor FOB]]</f>
        <v>0.36923076923076925</v>
      </c>
    </row>
    <row r="77" spans="2:19" x14ac:dyDescent="0.3">
      <c r="B77" s="8" t="s">
        <v>123</v>
      </c>
      <c r="C77" s="7">
        <v>46280</v>
      </c>
      <c r="D77" s="1" t="s">
        <v>22</v>
      </c>
      <c r="E77" s="5" t="s">
        <v>28</v>
      </c>
      <c r="F77" s="5" t="str">
        <f>VLOOKUP(Operaciones[[#This Row],[Código Producto]],Producto[#All],2,0)</f>
        <v>Aceite de ajonjolí</v>
      </c>
      <c r="G77" s="5" t="str">
        <f>VLOOKUP(Operaciones[[#This Row],[Código Producto]],Producto[#All],3,0)</f>
        <v>Aceites</v>
      </c>
      <c r="H77" s="1" t="s">
        <v>24</v>
      </c>
      <c r="I77" s="1" t="str">
        <f>VLOOKUP(Operaciones[[#This Row],[Pais Destino]],Mercado[#All],2,0)</f>
        <v>Europa</v>
      </c>
      <c r="J77" s="1">
        <f>VLOOKUP(Operaciones[[#This Row],[Pais Destino]],Mercado[],3,0)</f>
        <v>0.1</v>
      </c>
      <c r="K77" s="1" t="str">
        <f>VLOOKUP(Operaciones[[#This Row],[Pais Destino]],Mercado[#All],4,0)</f>
        <v>Potencial</v>
      </c>
      <c r="L77" s="1">
        <v>610</v>
      </c>
      <c r="M77" s="1">
        <v>12.5</v>
      </c>
      <c r="N77" s="1">
        <f>Operaciones[[#This Row],[Unidades]]*Operaciones[[#This Row],[Precio FOB]]</f>
        <v>7625</v>
      </c>
      <c r="O77" s="1">
        <v>8.6999999999999993</v>
      </c>
      <c r="P77" s="23">
        <f>Operaciones[[#This Row],[Unidades]]*Operaciones[[#This Row],[Costo Unitario]]</f>
        <v>5307</v>
      </c>
      <c r="Q77" s="9" t="s">
        <v>16</v>
      </c>
      <c r="R77" s="1">
        <f>Operaciones[[#This Row],[Valor FOB]]-Operaciones[[#This Row],[Costo total]]</f>
        <v>2318</v>
      </c>
      <c r="S77" s="26">
        <f>Operaciones[[#This Row],[Utilidad ]]/Operaciones[[#This Row],[Valor FOB]]</f>
        <v>0.30399999999999999</v>
      </c>
    </row>
    <row r="78" spans="2:19" x14ac:dyDescent="0.3">
      <c r="B78" s="8" t="s">
        <v>124</v>
      </c>
      <c r="C78" s="7">
        <v>46289</v>
      </c>
      <c r="D78" s="1" t="s">
        <v>27</v>
      </c>
      <c r="E78" s="5" t="s">
        <v>9</v>
      </c>
      <c r="F78" s="5" t="str">
        <f>VLOOKUP(Operaciones[[#This Row],[Código Producto]],Producto[#All],2,0)</f>
        <v>Miel natural</v>
      </c>
      <c r="G78" s="5" t="str">
        <f>VLOOKUP(Operaciones[[#This Row],[Código Producto]],Producto[#All],3,0)</f>
        <v>Apícola</v>
      </c>
      <c r="H78" s="1" t="s">
        <v>29</v>
      </c>
      <c r="I78" s="1" t="str">
        <f>VLOOKUP(Operaciones[[#This Row],[Pais Destino]],Mercado[#All],2,0)</f>
        <v>Norteamérica</v>
      </c>
      <c r="J78" s="1">
        <f>VLOOKUP(Operaciones[[#This Row],[Pais Destino]],Mercado[],3,0)</f>
        <v>0.08</v>
      </c>
      <c r="K78" s="1" t="str">
        <f>VLOOKUP(Operaciones[[#This Row],[Pais Destino]],Mercado[#All],4,0)</f>
        <v>Potencial</v>
      </c>
      <c r="L78" s="1">
        <v>840</v>
      </c>
      <c r="M78" s="1">
        <v>4.8</v>
      </c>
      <c r="N78" s="1">
        <f>Operaciones[[#This Row],[Unidades]]*Operaciones[[#This Row],[Precio FOB]]</f>
        <v>4032</v>
      </c>
      <c r="O78" s="1">
        <v>3.2</v>
      </c>
      <c r="P78" s="23">
        <f>Operaciones[[#This Row],[Unidades]]*Operaciones[[#This Row],[Costo Unitario]]</f>
        <v>2688</v>
      </c>
      <c r="Q78" s="9" t="s">
        <v>11</v>
      </c>
      <c r="R78" s="1">
        <f>Operaciones[[#This Row],[Valor FOB]]-Operaciones[[#This Row],[Costo total]]</f>
        <v>1344</v>
      </c>
      <c r="S78" s="26">
        <f>Operaciones[[#This Row],[Utilidad ]]/Operaciones[[#This Row],[Valor FOB]]</f>
        <v>0.33333333333333331</v>
      </c>
    </row>
    <row r="79" spans="2:19" x14ac:dyDescent="0.3">
      <c r="B79" s="8" t="s">
        <v>125</v>
      </c>
      <c r="C79" s="7">
        <v>46298</v>
      </c>
      <c r="D79" s="1" t="s">
        <v>13</v>
      </c>
      <c r="E79" s="5" t="s">
        <v>23</v>
      </c>
      <c r="F79" s="5" t="str">
        <f>VLOOKUP(Operaciones[[#This Row],[Código Producto]],Producto[#All],2,0)</f>
        <v>Cacao en grano</v>
      </c>
      <c r="G79" s="5" t="str">
        <f>VLOOKUP(Operaciones[[#This Row],[Código Producto]],Producto[#All],3,0)</f>
        <v>Cacao</v>
      </c>
      <c r="H79" s="1" t="s">
        <v>15</v>
      </c>
      <c r="I79" s="1" t="str">
        <f>VLOOKUP(Operaciones[[#This Row],[Pais Destino]],Mercado[#All],2,0)</f>
        <v>Norteamérica</v>
      </c>
      <c r="J79" s="1">
        <f>VLOOKUP(Operaciones[[#This Row],[Pais Destino]],Mercado[],3,0)</f>
        <v>0.05</v>
      </c>
      <c r="K79" s="1" t="str">
        <f>VLOOKUP(Operaciones[[#This Row],[Pais Destino]],Mercado[#All],4,0)</f>
        <v>Estratégico</v>
      </c>
      <c r="L79" s="1">
        <v>1210</v>
      </c>
      <c r="M79" s="1">
        <v>7.1</v>
      </c>
      <c r="N79" s="1">
        <f>Operaciones[[#This Row],[Unidades]]*Operaciones[[#This Row],[Precio FOB]]</f>
        <v>8591</v>
      </c>
      <c r="O79" s="1">
        <v>4.8</v>
      </c>
      <c r="P79" s="23">
        <f>Operaciones[[#This Row],[Unidades]]*Operaciones[[#This Row],[Costo Unitario]]</f>
        <v>5808</v>
      </c>
      <c r="Q79" s="9" t="s">
        <v>16</v>
      </c>
      <c r="R79" s="1">
        <f>Operaciones[[#This Row],[Valor FOB]]-Operaciones[[#This Row],[Costo total]]</f>
        <v>2783</v>
      </c>
      <c r="S79" s="26">
        <f>Operaciones[[#This Row],[Utilidad ]]/Operaciones[[#This Row],[Valor FOB]]</f>
        <v>0.323943661971831</v>
      </c>
    </row>
    <row r="80" spans="2:19" x14ac:dyDescent="0.3">
      <c r="B80" s="8" t="s">
        <v>126</v>
      </c>
      <c r="C80" s="7">
        <v>46307</v>
      </c>
      <c r="D80" s="1" t="s">
        <v>8</v>
      </c>
      <c r="E80" s="5" t="s">
        <v>14</v>
      </c>
      <c r="F80" s="5" t="str">
        <f>VLOOKUP(Operaciones[[#This Row],[Código Producto]],Producto[#All],2,0)</f>
        <v>Café especial</v>
      </c>
      <c r="G80" s="5" t="str">
        <f>VLOOKUP(Operaciones[[#This Row],[Código Producto]],Producto[#All],3,0)</f>
        <v>Café</v>
      </c>
      <c r="H80" s="1" t="s">
        <v>10</v>
      </c>
      <c r="I80" s="1" t="str">
        <f>VLOOKUP(Operaciones[[#This Row],[Pais Destino]],Mercado[#All],2,0)</f>
        <v>Centroamérica</v>
      </c>
      <c r="J80" s="1">
        <f>VLOOKUP(Operaciones[[#This Row],[Pais Destino]],Mercado[],3,0)</f>
        <v>0.03</v>
      </c>
      <c r="K80" s="1" t="str">
        <f>VLOOKUP(Operaciones[[#This Row],[Pais Destino]],Mercado[#All],4,0)</f>
        <v>Estratégico</v>
      </c>
      <c r="L80" s="1">
        <v>1080</v>
      </c>
      <c r="M80" s="1">
        <v>6.5</v>
      </c>
      <c r="N80" s="1">
        <f>Operaciones[[#This Row],[Unidades]]*Operaciones[[#This Row],[Precio FOB]]</f>
        <v>7020</v>
      </c>
      <c r="O80" s="1">
        <v>4.0999999999999996</v>
      </c>
      <c r="P80" s="23">
        <f>Operaciones[[#This Row],[Unidades]]*Operaciones[[#This Row],[Costo Unitario]]</f>
        <v>4428</v>
      </c>
      <c r="Q80" s="9" t="s">
        <v>16</v>
      </c>
      <c r="R80" s="1">
        <f>Operaciones[[#This Row],[Valor FOB]]-Operaciones[[#This Row],[Costo total]]</f>
        <v>2592</v>
      </c>
      <c r="S80" s="26">
        <f>Operaciones[[#This Row],[Utilidad ]]/Operaciones[[#This Row],[Valor FOB]]</f>
        <v>0.36923076923076925</v>
      </c>
    </row>
    <row r="81" spans="2:19" x14ac:dyDescent="0.3">
      <c r="B81" s="8" t="s">
        <v>127</v>
      </c>
      <c r="C81" s="7">
        <v>46316</v>
      </c>
      <c r="D81" s="1" t="s">
        <v>18</v>
      </c>
      <c r="E81" s="5" t="s">
        <v>19</v>
      </c>
      <c r="F81" s="5" t="str">
        <f>VLOOKUP(Operaciones[[#This Row],[Código Producto]],Producto[#All],2,0)</f>
        <v>Maní procesado</v>
      </c>
      <c r="G81" s="5" t="str">
        <f>VLOOKUP(Operaciones[[#This Row],[Código Producto]],Producto[#All],3,0)</f>
        <v>Semillas</v>
      </c>
      <c r="H81" s="1" t="s">
        <v>20</v>
      </c>
      <c r="I81" s="1" t="str">
        <f>VLOOKUP(Operaciones[[#This Row],[Pais Destino]],Mercado[#All],2,0)</f>
        <v>Centroamérica</v>
      </c>
      <c r="J81" s="1">
        <f>VLOOKUP(Operaciones[[#This Row],[Pais Destino]],Mercado[],3,0)</f>
        <v>0.02</v>
      </c>
      <c r="K81" s="1" t="str">
        <f>VLOOKUP(Operaciones[[#This Row],[Pais Destino]],Mercado[#All],4,0)</f>
        <v>Estratégico</v>
      </c>
      <c r="L81" s="1">
        <v>720</v>
      </c>
      <c r="M81" s="1">
        <v>8.1999999999999993</v>
      </c>
      <c r="N81" s="1">
        <f>Operaciones[[#This Row],[Unidades]]*Operaciones[[#This Row],[Precio FOB]]</f>
        <v>5903.9999999999991</v>
      </c>
      <c r="O81" s="1">
        <v>5.9</v>
      </c>
      <c r="P81" s="23">
        <f>Operaciones[[#This Row],[Unidades]]*Operaciones[[#This Row],[Costo Unitario]]</f>
        <v>4248</v>
      </c>
      <c r="Q81" s="9" t="s">
        <v>11</v>
      </c>
      <c r="R81" s="1">
        <f>Operaciones[[#This Row],[Valor FOB]]-Operaciones[[#This Row],[Costo total]]</f>
        <v>1655.9999999999991</v>
      </c>
      <c r="S81" s="26">
        <f>Operaciones[[#This Row],[Utilidad ]]/Operaciones[[#This Row],[Valor FOB]]</f>
        <v>0.2804878048780487</v>
      </c>
    </row>
    <row r="82" spans="2:19" x14ac:dyDescent="0.3">
      <c r="B82" s="8" t="s">
        <v>128</v>
      </c>
      <c r="C82" s="7">
        <v>46325</v>
      </c>
      <c r="D82" s="1" t="s">
        <v>22</v>
      </c>
      <c r="E82" s="5" t="s">
        <v>9</v>
      </c>
      <c r="F82" s="5" t="str">
        <f>VLOOKUP(Operaciones[[#This Row],[Código Producto]],Producto[#All],2,0)</f>
        <v>Miel natural</v>
      </c>
      <c r="G82" s="5" t="str">
        <f>VLOOKUP(Operaciones[[#This Row],[Código Producto]],Producto[#All],3,0)</f>
        <v>Apícola</v>
      </c>
      <c r="H82" s="1" t="s">
        <v>24</v>
      </c>
      <c r="I82" s="1" t="str">
        <f>VLOOKUP(Operaciones[[#This Row],[Pais Destino]],Mercado[#All],2,0)</f>
        <v>Europa</v>
      </c>
      <c r="J82" s="1">
        <f>VLOOKUP(Operaciones[[#This Row],[Pais Destino]],Mercado[],3,0)</f>
        <v>0.1</v>
      </c>
      <c r="K82" s="1" t="str">
        <f>VLOOKUP(Operaciones[[#This Row],[Pais Destino]],Mercado[#All],4,0)</f>
        <v>Potencial</v>
      </c>
      <c r="L82" s="1">
        <v>1160</v>
      </c>
      <c r="M82" s="1">
        <v>4.8</v>
      </c>
      <c r="N82" s="1">
        <f>Operaciones[[#This Row],[Unidades]]*Operaciones[[#This Row],[Precio FOB]]</f>
        <v>5568</v>
      </c>
      <c r="O82" s="1">
        <v>3.2</v>
      </c>
      <c r="P82" s="23">
        <f>Operaciones[[#This Row],[Unidades]]*Operaciones[[#This Row],[Costo Unitario]]</f>
        <v>3712</v>
      </c>
      <c r="Q82" s="9" t="s">
        <v>25</v>
      </c>
      <c r="R82" s="1">
        <f>Operaciones[[#This Row],[Valor FOB]]-Operaciones[[#This Row],[Costo total]]</f>
        <v>1856</v>
      </c>
      <c r="S82" s="26">
        <f>Operaciones[[#This Row],[Utilidad ]]/Operaciones[[#This Row],[Valor FOB]]</f>
        <v>0.33333333333333331</v>
      </c>
    </row>
    <row r="83" spans="2:19" x14ac:dyDescent="0.3">
      <c r="B83" s="8" t="s">
        <v>129</v>
      </c>
      <c r="C83" s="7">
        <v>46334</v>
      </c>
      <c r="D83" s="1" t="s">
        <v>27</v>
      </c>
      <c r="E83" s="5" t="s">
        <v>28</v>
      </c>
      <c r="F83" s="5" t="str">
        <f>VLOOKUP(Operaciones[[#This Row],[Código Producto]],Producto[#All],2,0)</f>
        <v>Aceite de ajonjolí</v>
      </c>
      <c r="G83" s="5" t="str">
        <f>VLOOKUP(Operaciones[[#This Row],[Código Producto]],Producto[#All],3,0)</f>
        <v>Aceites</v>
      </c>
      <c r="H83" s="1" t="s">
        <v>29</v>
      </c>
      <c r="I83" s="1" t="str">
        <f>VLOOKUP(Operaciones[[#This Row],[Pais Destino]],Mercado[#All],2,0)</f>
        <v>Norteamérica</v>
      </c>
      <c r="J83" s="1">
        <f>VLOOKUP(Operaciones[[#This Row],[Pais Destino]],Mercado[],3,0)</f>
        <v>0.08</v>
      </c>
      <c r="K83" s="1" t="str">
        <f>VLOOKUP(Operaciones[[#This Row],[Pais Destino]],Mercado[#All],4,0)</f>
        <v>Potencial</v>
      </c>
      <c r="L83" s="1">
        <v>560</v>
      </c>
      <c r="M83" s="1">
        <v>12.5</v>
      </c>
      <c r="N83" s="1">
        <f>Operaciones[[#This Row],[Unidades]]*Operaciones[[#This Row],[Precio FOB]]</f>
        <v>7000</v>
      </c>
      <c r="O83" s="1">
        <v>8.6999999999999993</v>
      </c>
      <c r="P83" s="23">
        <f>Operaciones[[#This Row],[Unidades]]*Operaciones[[#This Row],[Costo Unitario]]</f>
        <v>4872</v>
      </c>
      <c r="Q83" s="9" t="s">
        <v>16</v>
      </c>
      <c r="R83" s="1">
        <f>Operaciones[[#This Row],[Valor FOB]]-Operaciones[[#This Row],[Costo total]]</f>
        <v>2128</v>
      </c>
      <c r="S83" s="26">
        <f>Operaciones[[#This Row],[Utilidad ]]/Operaciones[[#This Row],[Valor FOB]]</f>
        <v>0.30399999999999999</v>
      </c>
    </row>
    <row r="84" spans="2:19" x14ac:dyDescent="0.3">
      <c r="B84" s="8" t="s">
        <v>130</v>
      </c>
      <c r="C84" s="7">
        <v>46343</v>
      </c>
      <c r="D84" s="1" t="s">
        <v>13</v>
      </c>
      <c r="E84" s="5" t="s">
        <v>14</v>
      </c>
      <c r="F84" s="5" t="str">
        <f>VLOOKUP(Operaciones[[#This Row],[Código Producto]],Producto[#All],2,0)</f>
        <v>Café especial</v>
      </c>
      <c r="G84" s="5" t="str">
        <f>VLOOKUP(Operaciones[[#This Row],[Código Producto]],Producto[#All],3,0)</f>
        <v>Café</v>
      </c>
      <c r="H84" s="1" t="s">
        <v>15</v>
      </c>
      <c r="I84" s="1" t="str">
        <f>VLOOKUP(Operaciones[[#This Row],[Pais Destino]],Mercado[#All],2,0)</f>
        <v>Norteamérica</v>
      </c>
      <c r="J84" s="1">
        <f>VLOOKUP(Operaciones[[#This Row],[Pais Destino]],Mercado[],3,0)</f>
        <v>0.05</v>
      </c>
      <c r="K84" s="1" t="str">
        <f>VLOOKUP(Operaciones[[#This Row],[Pais Destino]],Mercado[#All],4,0)</f>
        <v>Estratégico</v>
      </c>
      <c r="L84" s="1">
        <v>1380</v>
      </c>
      <c r="M84" s="1">
        <v>6.5</v>
      </c>
      <c r="N84" s="1">
        <f>Operaciones[[#This Row],[Unidades]]*Operaciones[[#This Row],[Precio FOB]]</f>
        <v>8970</v>
      </c>
      <c r="O84" s="1">
        <v>4.0999999999999996</v>
      </c>
      <c r="P84" s="23">
        <f>Operaciones[[#This Row],[Unidades]]*Operaciones[[#This Row],[Costo Unitario]]</f>
        <v>5657.9999999999991</v>
      </c>
      <c r="Q84" s="9" t="s">
        <v>11</v>
      </c>
      <c r="R84" s="1">
        <f>Operaciones[[#This Row],[Valor FOB]]-Operaciones[[#This Row],[Costo total]]</f>
        <v>3312.0000000000009</v>
      </c>
      <c r="S84" s="26">
        <f>Operaciones[[#This Row],[Utilidad ]]/Operaciones[[#This Row],[Valor FOB]]</f>
        <v>0.36923076923076931</v>
      </c>
    </row>
    <row r="85" spans="2:19" x14ac:dyDescent="0.3">
      <c r="B85" s="8" t="s">
        <v>131</v>
      </c>
      <c r="C85" s="7">
        <v>46352</v>
      </c>
      <c r="D85" s="1" t="s">
        <v>8</v>
      </c>
      <c r="E85" s="5" t="s">
        <v>23</v>
      </c>
      <c r="F85" s="5" t="str">
        <f>VLOOKUP(Operaciones[[#This Row],[Código Producto]],Producto[#All],2,0)</f>
        <v>Cacao en grano</v>
      </c>
      <c r="G85" s="5" t="str">
        <f>VLOOKUP(Operaciones[[#This Row],[Código Producto]],Producto[#All],3,0)</f>
        <v>Cacao</v>
      </c>
      <c r="H85" s="1" t="s">
        <v>10</v>
      </c>
      <c r="I85" s="1" t="str">
        <f>VLOOKUP(Operaciones[[#This Row],[Pais Destino]],Mercado[#All],2,0)</f>
        <v>Centroamérica</v>
      </c>
      <c r="J85" s="1">
        <f>VLOOKUP(Operaciones[[#This Row],[Pais Destino]],Mercado[],3,0)</f>
        <v>0.03</v>
      </c>
      <c r="K85" s="1" t="str">
        <f>VLOOKUP(Operaciones[[#This Row],[Pais Destino]],Mercado[#All],4,0)</f>
        <v>Estratégico</v>
      </c>
      <c r="L85" s="1">
        <v>940</v>
      </c>
      <c r="M85" s="1">
        <v>7.1</v>
      </c>
      <c r="N85" s="1">
        <f>Operaciones[[#This Row],[Unidades]]*Operaciones[[#This Row],[Precio FOB]]</f>
        <v>6674</v>
      </c>
      <c r="O85" s="1">
        <v>4.8</v>
      </c>
      <c r="P85" s="23">
        <f>Operaciones[[#This Row],[Unidades]]*Operaciones[[#This Row],[Costo Unitario]]</f>
        <v>4512</v>
      </c>
      <c r="Q85" s="9" t="s">
        <v>16</v>
      </c>
      <c r="R85" s="1">
        <f>Operaciones[[#This Row],[Valor FOB]]-Operaciones[[#This Row],[Costo total]]</f>
        <v>2162</v>
      </c>
      <c r="S85" s="26">
        <f>Operaciones[[#This Row],[Utilidad ]]/Operaciones[[#This Row],[Valor FOB]]</f>
        <v>0.323943661971831</v>
      </c>
    </row>
    <row r="86" spans="2:19" x14ac:dyDescent="0.3">
      <c r="B86" s="8" t="s">
        <v>132</v>
      </c>
      <c r="C86" s="7">
        <v>46361</v>
      </c>
      <c r="D86" s="1" t="s">
        <v>18</v>
      </c>
      <c r="E86" s="5" t="s">
        <v>9</v>
      </c>
      <c r="F86" s="5" t="str">
        <f>VLOOKUP(Operaciones[[#This Row],[Código Producto]],Producto[#All],2,0)</f>
        <v>Miel natural</v>
      </c>
      <c r="G86" s="5" t="str">
        <f>VLOOKUP(Operaciones[[#This Row],[Código Producto]],Producto[#All],3,0)</f>
        <v>Apícola</v>
      </c>
      <c r="H86" s="1" t="s">
        <v>20</v>
      </c>
      <c r="I86" s="1" t="str">
        <f>VLOOKUP(Operaciones[[#This Row],[Pais Destino]],Mercado[#All],2,0)</f>
        <v>Centroamérica</v>
      </c>
      <c r="J86" s="1">
        <f>VLOOKUP(Operaciones[[#This Row],[Pais Destino]],Mercado[],3,0)</f>
        <v>0.02</v>
      </c>
      <c r="K86" s="1" t="str">
        <f>VLOOKUP(Operaciones[[#This Row],[Pais Destino]],Mercado[#All],4,0)</f>
        <v>Estratégico</v>
      </c>
      <c r="L86" s="1">
        <v>870</v>
      </c>
      <c r="M86" s="1">
        <v>4.8</v>
      </c>
      <c r="N86" s="1">
        <f>Operaciones[[#This Row],[Unidades]]*Operaciones[[#This Row],[Precio FOB]]</f>
        <v>4176</v>
      </c>
      <c r="O86" s="1">
        <v>3.2</v>
      </c>
      <c r="P86" s="23">
        <f>Operaciones[[#This Row],[Unidades]]*Operaciones[[#This Row],[Costo Unitario]]</f>
        <v>2784</v>
      </c>
      <c r="Q86" s="9" t="s">
        <v>11</v>
      </c>
      <c r="R86" s="1">
        <f>Operaciones[[#This Row],[Valor FOB]]-Operaciones[[#This Row],[Costo total]]</f>
        <v>1392</v>
      </c>
      <c r="S86" s="26">
        <f>Operaciones[[#This Row],[Utilidad ]]/Operaciones[[#This Row],[Valor FOB]]</f>
        <v>0.33333333333333331</v>
      </c>
    </row>
    <row r="87" spans="2:19" x14ac:dyDescent="0.3">
      <c r="B87" s="8" t="s">
        <v>133</v>
      </c>
      <c r="C87" s="7">
        <v>46370</v>
      </c>
      <c r="D87" s="1" t="s">
        <v>22</v>
      </c>
      <c r="E87" s="5" t="s">
        <v>19</v>
      </c>
      <c r="F87" s="5" t="str">
        <f>VLOOKUP(Operaciones[[#This Row],[Código Producto]],Producto[#All],2,0)</f>
        <v>Maní procesado</v>
      </c>
      <c r="G87" s="5" t="str">
        <f>VLOOKUP(Operaciones[[#This Row],[Código Producto]],Producto[#All],3,0)</f>
        <v>Semillas</v>
      </c>
      <c r="H87" s="1" t="s">
        <v>24</v>
      </c>
      <c r="I87" s="1" t="str">
        <f>VLOOKUP(Operaciones[[#This Row],[Pais Destino]],Mercado[#All],2,0)</f>
        <v>Europa</v>
      </c>
      <c r="J87" s="1">
        <f>VLOOKUP(Operaciones[[#This Row],[Pais Destino]],Mercado[],3,0)</f>
        <v>0.1</v>
      </c>
      <c r="K87" s="1" t="str">
        <f>VLOOKUP(Operaciones[[#This Row],[Pais Destino]],Mercado[#All],4,0)</f>
        <v>Potencial</v>
      </c>
      <c r="L87" s="1">
        <v>810</v>
      </c>
      <c r="M87" s="1">
        <v>8.1999999999999993</v>
      </c>
      <c r="N87" s="1">
        <f>Operaciones[[#This Row],[Unidades]]*Operaciones[[#This Row],[Precio FOB]]</f>
        <v>6641.9999999999991</v>
      </c>
      <c r="O87" s="1">
        <v>5.9</v>
      </c>
      <c r="P87" s="23">
        <f>Operaciones[[#This Row],[Unidades]]*Operaciones[[#This Row],[Costo Unitario]]</f>
        <v>4779</v>
      </c>
      <c r="Q87" s="9" t="s">
        <v>16</v>
      </c>
      <c r="R87" s="1">
        <f>Operaciones[[#This Row],[Valor FOB]]-Operaciones[[#This Row],[Costo total]]</f>
        <v>1862.9999999999991</v>
      </c>
      <c r="S87" s="26">
        <f>Operaciones[[#This Row],[Utilidad ]]/Operaciones[[#This Row],[Valor FOB]]</f>
        <v>0.2804878048780487</v>
      </c>
    </row>
    <row r="88" spans="2:19" x14ac:dyDescent="0.3">
      <c r="B88" s="8" t="s">
        <v>134</v>
      </c>
      <c r="C88" s="7">
        <v>46379</v>
      </c>
      <c r="D88" s="1" t="s">
        <v>27</v>
      </c>
      <c r="E88" s="5" t="s">
        <v>14</v>
      </c>
      <c r="F88" s="5" t="str">
        <f>VLOOKUP(Operaciones[[#This Row],[Código Producto]],Producto[#All],2,0)</f>
        <v>Café especial</v>
      </c>
      <c r="G88" s="5" t="str">
        <f>VLOOKUP(Operaciones[[#This Row],[Código Producto]],Producto[#All],3,0)</f>
        <v>Café</v>
      </c>
      <c r="H88" s="1" t="s">
        <v>29</v>
      </c>
      <c r="I88" s="1" t="str">
        <f>VLOOKUP(Operaciones[[#This Row],[Pais Destino]],Mercado[#All],2,0)</f>
        <v>Norteamérica</v>
      </c>
      <c r="J88" s="1">
        <f>VLOOKUP(Operaciones[[#This Row],[Pais Destino]],Mercado[],3,0)</f>
        <v>0.08</v>
      </c>
      <c r="K88" s="1" t="str">
        <f>VLOOKUP(Operaciones[[#This Row],[Pais Destino]],Mercado[#All],4,0)</f>
        <v>Potencial</v>
      </c>
      <c r="L88" s="1">
        <v>990</v>
      </c>
      <c r="M88" s="1">
        <v>6.5</v>
      </c>
      <c r="N88" s="1">
        <f>Operaciones[[#This Row],[Unidades]]*Operaciones[[#This Row],[Precio FOB]]</f>
        <v>6435</v>
      </c>
      <c r="O88" s="1">
        <v>4.0999999999999996</v>
      </c>
      <c r="P88" s="23">
        <f>Operaciones[[#This Row],[Unidades]]*Operaciones[[#This Row],[Costo Unitario]]</f>
        <v>4058.9999999999995</v>
      </c>
      <c r="Q88" s="9" t="s">
        <v>25</v>
      </c>
      <c r="R88" s="1">
        <f>Operaciones[[#This Row],[Valor FOB]]-Operaciones[[#This Row],[Costo total]]</f>
        <v>2376.0000000000005</v>
      </c>
      <c r="S88" s="26">
        <f>Operaciones[[#This Row],[Utilidad ]]/Operaciones[[#This Row],[Valor FOB]]</f>
        <v>0.36923076923076931</v>
      </c>
    </row>
    <row r="89" spans="2:19" x14ac:dyDescent="0.3">
      <c r="B89" s="8" t="s">
        <v>135</v>
      </c>
      <c r="C89" s="7">
        <v>46386</v>
      </c>
      <c r="D89" s="1" t="s">
        <v>13</v>
      </c>
      <c r="E89" s="5" t="s">
        <v>28</v>
      </c>
      <c r="F89" s="5" t="str">
        <f>VLOOKUP(Operaciones[[#This Row],[Código Producto]],Producto[#All],2,0)</f>
        <v>Aceite de ajonjolí</v>
      </c>
      <c r="G89" s="5" t="str">
        <f>VLOOKUP(Operaciones[[#This Row],[Código Producto]],Producto[#All],3,0)</f>
        <v>Aceites</v>
      </c>
      <c r="H89" s="1" t="s">
        <v>15</v>
      </c>
      <c r="I89" s="1" t="str">
        <f>VLOOKUP(Operaciones[[#This Row],[Pais Destino]],Mercado[#All],2,0)</f>
        <v>Norteamérica</v>
      </c>
      <c r="J89" s="1">
        <f>VLOOKUP(Operaciones[[#This Row],[Pais Destino]],Mercado[],3,0)</f>
        <v>0.05</v>
      </c>
      <c r="K89" s="1" t="str">
        <f>VLOOKUP(Operaciones[[#This Row],[Pais Destino]],Mercado[#All],4,0)</f>
        <v>Estratégico</v>
      </c>
      <c r="L89" s="1">
        <v>730</v>
      </c>
      <c r="M89" s="1">
        <v>12.5</v>
      </c>
      <c r="N89" s="1">
        <f>Operaciones[[#This Row],[Unidades]]*Operaciones[[#This Row],[Precio FOB]]</f>
        <v>9125</v>
      </c>
      <c r="O89" s="1">
        <v>8.6999999999999993</v>
      </c>
      <c r="P89" s="23">
        <f>Operaciones[[#This Row],[Unidades]]*Operaciones[[#This Row],[Costo Unitario]]</f>
        <v>6350.9999999999991</v>
      </c>
      <c r="Q89" s="9" t="s">
        <v>16</v>
      </c>
      <c r="R89" s="1">
        <f>Operaciones[[#This Row],[Valor FOB]]-Operaciones[[#This Row],[Costo total]]</f>
        <v>2774.0000000000009</v>
      </c>
      <c r="S89" s="26">
        <f>Operaciones[[#This Row],[Utilidad ]]/Operaciones[[#This Row],[Valor FOB]]</f>
        <v>0.3040000000000001</v>
      </c>
    </row>
    <row r="90" spans="2:19" x14ac:dyDescent="0.3">
      <c r="B90" s="8" t="s">
        <v>136</v>
      </c>
      <c r="C90" s="7">
        <v>46029</v>
      </c>
      <c r="D90" s="1" t="s">
        <v>8</v>
      </c>
      <c r="E90" s="5" t="s">
        <v>19</v>
      </c>
      <c r="F90" s="5" t="str">
        <f>VLOOKUP(Operaciones[[#This Row],[Código Producto]],Producto[#All],2,0)</f>
        <v>Maní procesado</v>
      </c>
      <c r="G90" s="5" t="str">
        <f>VLOOKUP(Operaciones[[#This Row],[Código Producto]],Producto[#All],3,0)</f>
        <v>Semillas</v>
      </c>
      <c r="H90" s="1" t="s">
        <v>10</v>
      </c>
      <c r="I90" s="1" t="str">
        <f>VLOOKUP(Operaciones[[#This Row],[Pais Destino]],Mercado[#All],2,0)</f>
        <v>Centroamérica</v>
      </c>
      <c r="J90" s="1">
        <f>VLOOKUP(Operaciones[[#This Row],[Pais Destino]],Mercado[],3,0)</f>
        <v>0.03</v>
      </c>
      <c r="K90" s="1" t="str">
        <f>VLOOKUP(Operaciones[[#This Row],[Pais Destino]],Mercado[#All],4,0)</f>
        <v>Estratégico</v>
      </c>
      <c r="L90" s="1">
        <v>780</v>
      </c>
      <c r="M90" s="1">
        <v>8.1999999999999993</v>
      </c>
      <c r="N90" s="1">
        <f>Operaciones[[#This Row],[Unidades]]*Operaciones[[#This Row],[Precio FOB]]</f>
        <v>6395.9999999999991</v>
      </c>
      <c r="O90" s="1">
        <v>5.9</v>
      </c>
      <c r="P90" s="23">
        <f>Operaciones[[#This Row],[Unidades]]*Operaciones[[#This Row],[Costo Unitario]]</f>
        <v>4602</v>
      </c>
      <c r="Q90" s="9" t="s">
        <v>11</v>
      </c>
      <c r="R90" s="1">
        <f>Operaciones[[#This Row],[Valor FOB]]-Operaciones[[#This Row],[Costo total]]</f>
        <v>1793.9999999999991</v>
      </c>
      <c r="S90" s="26">
        <f>Operaciones[[#This Row],[Utilidad ]]/Operaciones[[#This Row],[Valor FOB]]</f>
        <v>0.2804878048780487</v>
      </c>
    </row>
    <row r="91" spans="2:19" x14ac:dyDescent="0.3">
      <c r="B91" s="8" t="s">
        <v>137</v>
      </c>
      <c r="C91" s="7">
        <v>46038</v>
      </c>
      <c r="D91" s="1" t="s">
        <v>18</v>
      </c>
      <c r="E91" s="5" t="s">
        <v>9</v>
      </c>
      <c r="F91" s="5" t="str">
        <f>VLOOKUP(Operaciones[[#This Row],[Código Producto]],Producto[#All],2,0)</f>
        <v>Miel natural</v>
      </c>
      <c r="G91" s="5" t="str">
        <f>VLOOKUP(Operaciones[[#This Row],[Código Producto]],Producto[#All],3,0)</f>
        <v>Apícola</v>
      </c>
      <c r="H91" s="1" t="s">
        <v>20</v>
      </c>
      <c r="I91" s="1" t="str">
        <f>VLOOKUP(Operaciones[[#This Row],[Pais Destino]],Mercado[#All],2,0)</f>
        <v>Centroamérica</v>
      </c>
      <c r="J91" s="1">
        <f>VLOOKUP(Operaciones[[#This Row],[Pais Destino]],Mercado[],3,0)</f>
        <v>0.02</v>
      </c>
      <c r="K91" s="1" t="str">
        <f>VLOOKUP(Operaciones[[#This Row],[Pais Destino]],Mercado[#All],4,0)</f>
        <v>Estratégico</v>
      </c>
      <c r="L91" s="1">
        <v>930</v>
      </c>
      <c r="M91" s="1">
        <v>4.8</v>
      </c>
      <c r="N91" s="1">
        <f>Operaciones[[#This Row],[Unidades]]*Operaciones[[#This Row],[Precio FOB]]</f>
        <v>4464</v>
      </c>
      <c r="O91" s="1">
        <v>3.2</v>
      </c>
      <c r="P91" s="23">
        <f>Operaciones[[#This Row],[Unidades]]*Operaciones[[#This Row],[Costo Unitario]]</f>
        <v>2976</v>
      </c>
      <c r="Q91" s="9" t="s">
        <v>16</v>
      </c>
      <c r="R91" s="1">
        <f>Operaciones[[#This Row],[Valor FOB]]-Operaciones[[#This Row],[Costo total]]</f>
        <v>1488</v>
      </c>
      <c r="S91" s="26">
        <f>Operaciones[[#This Row],[Utilidad ]]/Operaciones[[#This Row],[Valor FOB]]</f>
        <v>0.33333333333333331</v>
      </c>
    </row>
    <row r="92" spans="2:19" x14ac:dyDescent="0.3">
      <c r="B92" s="8" t="s">
        <v>138</v>
      </c>
      <c r="C92" s="7">
        <v>46047</v>
      </c>
      <c r="D92" s="1" t="s">
        <v>22</v>
      </c>
      <c r="E92" s="5" t="s">
        <v>23</v>
      </c>
      <c r="F92" s="5" t="str">
        <f>VLOOKUP(Operaciones[[#This Row],[Código Producto]],Producto[#All],2,0)</f>
        <v>Cacao en grano</v>
      </c>
      <c r="G92" s="5" t="str">
        <f>VLOOKUP(Operaciones[[#This Row],[Código Producto]],Producto[#All],3,0)</f>
        <v>Cacao</v>
      </c>
      <c r="H92" s="1" t="s">
        <v>24</v>
      </c>
      <c r="I92" s="1" t="str">
        <f>VLOOKUP(Operaciones[[#This Row],[Pais Destino]],Mercado[#All],2,0)</f>
        <v>Europa</v>
      </c>
      <c r="J92" s="1">
        <f>VLOOKUP(Operaciones[[#This Row],[Pais Destino]],Mercado[],3,0)</f>
        <v>0.1</v>
      </c>
      <c r="K92" s="1" t="str">
        <f>VLOOKUP(Operaciones[[#This Row],[Pais Destino]],Mercado[#All],4,0)</f>
        <v>Potencial</v>
      </c>
      <c r="L92" s="1">
        <v>870</v>
      </c>
      <c r="M92" s="1">
        <v>7.1</v>
      </c>
      <c r="N92" s="1">
        <f>Operaciones[[#This Row],[Unidades]]*Operaciones[[#This Row],[Precio FOB]]</f>
        <v>6177</v>
      </c>
      <c r="O92" s="1">
        <v>4.8</v>
      </c>
      <c r="P92" s="23">
        <f>Operaciones[[#This Row],[Unidades]]*Operaciones[[#This Row],[Costo Unitario]]</f>
        <v>4176</v>
      </c>
      <c r="Q92" s="9" t="s">
        <v>25</v>
      </c>
      <c r="R92" s="1">
        <f>Operaciones[[#This Row],[Valor FOB]]-Operaciones[[#This Row],[Costo total]]</f>
        <v>2001</v>
      </c>
      <c r="S92" s="26">
        <f>Operaciones[[#This Row],[Utilidad ]]/Operaciones[[#This Row],[Valor FOB]]</f>
        <v>0.323943661971831</v>
      </c>
    </row>
    <row r="93" spans="2:19" x14ac:dyDescent="0.3">
      <c r="B93" s="8" t="s">
        <v>139</v>
      </c>
      <c r="C93" s="7">
        <v>46059</v>
      </c>
      <c r="D93" s="1" t="s">
        <v>27</v>
      </c>
      <c r="E93" s="5" t="s">
        <v>28</v>
      </c>
      <c r="F93" s="5" t="str">
        <f>VLOOKUP(Operaciones[[#This Row],[Código Producto]],Producto[#All],2,0)</f>
        <v>Aceite de ajonjolí</v>
      </c>
      <c r="G93" s="5" t="str">
        <f>VLOOKUP(Operaciones[[#This Row],[Código Producto]],Producto[#All],3,0)</f>
        <v>Aceites</v>
      </c>
      <c r="H93" s="1" t="s">
        <v>29</v>
      </c>
      <c r="I93" s="1" t="str">
        <f>VLOOKUP(Operaciones[[#This Row],[Pais Destino]],Mercado[#All],2,0)</f>
        <v>Norteamérica</v>
      </c>
      <c r="J93" s="1">
        <f>VLOOKUP(Operaciones[[#This Row],[Pais Destino]],Mercado[],3,0)</f>
        <v>0.08</v>
      </c>
      <c r="K93" s="1" t="str">
        <f>VLOOKUP(Operaciones[[#This Row],[Pais Destino]],Mercado[#All],4,0)</f>
        <v>Potencial</v>
      </c>
      <c r="L93" s="1">
        <v>480</v>
      </c>
      <c r="M93" s="1">
        <v>12.5</v>
      </c>
      <c r="N93" s="1">
        <f>Operaciones[[#This Row],[Unidades]]*Operaciones[[#This Row],[Precio FOB]]</f>
        <v>6000</v>
      </c>
      <c r="O93" s="1">
        <v>8.6999999999999993</v>
      </c>
      <c r="P93" s="23">
        <f>Operaciones[[#This Row],[Unidades]]*Operaciones[[#This Row],[Costo Unitario]]</f>
        <v>4176</v>
      </c>
      <c r="Q93" s="9" t="s">
        <v>11</v>
      </c>
      <c r="R93" s="1">
        <f>Operaciones[[#This Row],[Valor FOB]]-Operaciones[[#This Row],[Costo total]]</f>
        <v>1824</v>
      </c>
      <c r="S93" s="26">
        <f>Operaciones[[#This Row],[Utilidad ]]/Operaciones[[#This Row],[Valor FOB]]</f>
        <v>0.30399999999999999</v>
      </c>
    </row>
    <row r="94" spans="2:19" x14ac:dyDescent="0.3">
      <c r="B94" s="8" t="s">
        <v>140</v>
      </c>
      <c r="C94" s="7">
        <v>46068</v>
      </c>
      <c r="D94" s="1" t="s">
        <v>13</v>
      </c>
      <c r="E94" s="5" t="s">
        <v>14</v>
      </c>
      <c r="F94" s="5" t="str">
        <f>VLOOKUP(Operaciones[[#This Row],[Código Producto]],Producto[#All],2,0)</f>
        <v>Café especial</v>
      </c>
      <c r="G94" s="5" t="str">
        <f>VLOOKUP(Operaciones[[#This Row],[Código Producto]],Producto[#All],3,0)</f>
        <v>Café</v>
      </c>
      <c r="H94" s="1" t="s">
        <v>15</v>
      </c>
      <c r="I94" s="1" t="str">
        <f>VLOOKUP(Operaciones[[#This Row],[Pais Destino]],Mercado[#All],2,0)</f>
        <v>Norteamérica</v>
      </c>
      <c r="J94" s="1">
        <f>VLOOKUP(Operaciones[[#This Row],[Pais Destino]],Mercado[],3,0)</f>
        <v>0.05</v>
      </c>
      <c r="K94" s="1" t="str">
        <f>VLOOKUP(Operaciones[[#This Row],[Pais Destino]],Mercado[#All],4,0)</f>
        <v>Estratégico</v>
      </c>
      <c r="L94" s="1">
        <v>1260</v>
      </c>
      <c r="M94" s="1">
        <v>6.5</v>
      </c>
      <c r="N94" s="1">
        <f>Operaciones[[#This Row],[Unidades]]*Operaciones[[#This Row],[Precio FOB]]</f>
        <v>8190</v>
      </c>
      <c r="O94" s="1">
        <v>4.0999999999999996</v>
      </c>
      <c r="P94" s="23">
        <f>Operaciones[[#This Row],[Unidades]]*Operaciones[[#This Row],[Costo Unitario]]</f>
        <v>5166</v>
      </c>
      <c r="Q94" s="9" t="s">
        <v>16</v>
      </c>
      <c r="R94" s="1">
        <f>Operaciones[[#This Row],[Valor FOB]]-Operaciones[[#This Row],[Costo total]]</f>
        <v>3024</v>
      </c>
      <c r="S94" s="26">
        <f>Operaciones[[#This Row],[Utilidad ]]/Operaciones[[#This Row],[Valor FOB]]</f>
        <v>0.36923076923076925</v>
      </c>
    </row>
    <row r="95" spans="2:19" x14ac:dyDescent="0.3">
      <c r="B95" s="8" t="s">
        <v>141</v>
      </c>
      <c r="C95" s="7">
        <v>46077</v>
      </c>
      <c r="D95" s="1" t="s">
        <v>8</v>
      </c>
      <c r="E95" s="5" t="s">
        <v>9</v>
      </c>
      <c r="F95" s="5" t="str">
        <f>VLOOKUP(Operaciones[[#This Row],[Código Producto]],Producto[#All],2,0)</f>
        <v>Miel natural</v>
      </c>
      <c r="G95" s="5" t="str">
        <f>VLOOKUP(Operaciones[[#This Row],[Código Producto]],Producto[#All],3,0)</f>
        <v>Apícola</v>
      </c>
      <c r="H95" s="1" t="s">
        <v>10</v>
      </c>
      <c r="I95" s="1" t="str">
        <f>VLOOKUP(Operaciones[[#This Row],[Pais Destino]],Mercado[#All],2,0)</f>
        <v>Centroamérica</v>
      </c>
      <c r="J95" s="1">
        <f>VLOOKUP(Operaciones[[#This Row],[Pais Destino]],Mercado[],3,0)</f>
        <v>0.03</v>
      </c>
      <c r="K95" s="1" t="str">
        <f>VLOOKUP(Operaciones[[#This Row],[Pais Destino]],Mercado[#All],4,0)</f>
        <v>Estratégico</v>
      </c>
      <c r="L95" s="1">
        <v>1100</v>
      </c>
      <c r="M95" s="1">
        <v>4.8</v>
      </c>
      <c r="N95" s="1">
        <f>Operaciones[[#This Row],[Unidades]]*Operaciones[[#This Row],[Precio FOB]]</f>
        <v>5280</v>
      </c>
      <c r="O95" s="1">
        <v>3.2</v>
      </c>
      <c r="P95" s="23">
        <f>Operaciones[[#This Row],[Unidades]]*Operaciones[[#This Row],[Costo Unitario]]</f>
        <v>3520</v>
      </c>
      <c r="Q95" s="9" t="s">
        <v>11</v>
      </c>
      <c r="R95" s="1">
        <f>Operaciones[[#This Row],[Valor FOB]]-Operaciones[[#This Row],[Costo total]]</f>
        <v>1760</v>
      </c>
      <c r="S95" s="26">
        <f>Operaciones[[#This Row],[Utilidad ]]/Operaciones[[#This Row],[Valor FOB]]</f>
        <v>0.33333333333333331</v>
      </c>
    </row>
    <row r="96" spans="2:19" x14ac:dyDescent="0.3">
      <c r="B96" s="8" t="s">
        <v>142</v>
      </c>
      <c r="C96" s="7">
        <v>46086</v>
      </c>
      <c r="D96" s="1" t="s">
        <v>18</v>
      </c>
      <c r="E96" s="5" t="s">
        <v>28</v>
      </c>
      <c r="F96" s="5" t="str">
        <f>VLOOKUP(Operaciones[[#This Row],[Código Producto]],Producto[#All],2,0)</f>
        <v>Aceite de ajonjolí</v>
      </c>
      <c r="G96" s="5" t="str">
        <f>VLOOKUP(Operaciones[[#This Row],[Código Producto]],Producto[#All],3,0)</f>
        <v>Aceites</v>
      </c>
      <c r="H96" s="1" t="s">
        <v>20</v>
      </c>
      <c r="I96" s="1" t="str">
        <f>VLOOKUP(Operaciones[[#This Row],[Pais Destino]],Mercado[#All],2,0)</f>
        <v>Centroamérica</v>
      </c>
      <c r="J96" s="1">
        <f>VLOOKUP(Operaciones[[#This Row],[Pais Destino]],Mercado[],3,0)</f>
        <v>0.02</v>
      </c>
      <c r="K96" s="1" t="str">
        <f>VLOOKUP(Operaciones[[#This Row],[Pais Destino]],Mercado[#All],4,0)</f>
        <v>Estratégico</v>
      </c>
      <c r="L96" s="1">
        <v>570</v>
      </c>
      <c r="M96" s="1">
        <v>12.5</v>
      </c>
      <c r="N96" s="1">
        <f>Operaciones[[#This Row],[Unidades]]*Operaciones[[#This Row],[Precio FOB]]</f>
        <v>7125</v>
      </c>
      <c r="O96" s="1">
        <v>8.6999999999999993</v>
      </c>
      <c r="P96" s="23">
        <f>Operaciones[[#This Row],[Unidades]]*Operaciones[[#This Row],[Costo Unitario]]</f>
        <v>4959</v>
      </c>
      <c r="Q96" s="9" t="s">
        <v>16</v>
      </c>
      <c r="R96" s="1">
        <f>Operaciones[[#This Row],[Valor FOB]]-Operaciones[[#This Row],[Costo total]]</f>
        <v>2166</v>
      </c>
      <c r="S96" s="26">
        <f>Operaciones[[#This Row],[Utilidad ]]/Operaciones[[#This Row],[Valor FOB]]</f>
        <v>0.30399999999999999</v>
      </c>
    </row>
    <row r="97" spans="2:19" x14ac:dyDescent="0.3">
      <c r="B97" s="8" t="s">
        <v>143</v>
      </c>
      <c r="C97" s="7">
        <v>46095</v>
      </c>
      <c r="D97" s="1" t="s">
        <v>22</v>
      </c>
      <c r="E97" s="5" t="s">
        <v>19</v>
      </c>
      <c r="F97" s="5" t="str">
        <f>VLOOKUP(Operaciones[[#This Row],[Código Producto]],Producto[#All],2,0)</f>
        <v>Maní procesado</v>
      </c>
      <c r="G97" s="5" t="str">
        <f>VLOOKUP(Operaciones[[#This Row],[Código Producto]],Producto[#All],3,0)</f>
        <v>Semillas</v>
      </c>
      <c r="H97" s="1" t="s">
        <v>24</v>
      </c>
      <c r="I97" s="1" t="str">
        <f>VLOOKUP(Operaciones[[#This Row],[Pais Destino]],Mercado[#All],2,0)</f>
        <v>Europa</v>
      </c>
      <c r="J97" s="1">
        <f>VLOOKUP(Operaciones[[#This Row],[Pais Destino]],Mercado[],3,0)</f>
        <v>0.1</v>
      </c>
      <c r="K97" s="1" t="str">
        <f>VLOOKUP(Operaciones[[#This Row],[Pais Destino]],Mercado[#All],4,0)</f>
        <v>Potencial</v>
      </c>
      <c r="L97" s="1">
        <v>880</v>
      </c>
      <c r="M97" s="1">
        <v>8.1999999999999993</v>
      </c>
      <c r="N97" s="1">
        <f>Operaciones[[#This Row],[Unidades]]*Operaciones[[#This Row],[Precio FOB]]</f>
        <v>7215.9999999999991</v>
      </c>
      <c r="O97" s="1">
        <v>5.9</v>
      </c>
      <c r="P97" s="23">
        <f>Operaciones[[#This Row],[Unidades]]*Operaciones[[#This Row],[Costo Unitario]]</f>
        <v>5192</v>
      </c>
      <c r="Q97" s="9" t="s">
        <v>11</v>
      </c>
      <c r="R97" s="1">
        <f>Operaciones[[#This Row],[Valor FOB]]-Operaciones[[#This Row],[Costo total]]</f>
        <v>2023.9999999999991</v>
      </c>
      <c r="S97" s="26">
        <f>Operaciones[[#This Row],[Utilidad ]]/Operaciones[[#This Row],[Valor FOB]]</f>
        <v>0.2804878048780487</v>
      </c>
    </row>
    <row r="98" spans="2:19" x14ac:dyDescent="0.3">
      <c r="B98" s="8" t="s">
        <v>144</v>
      </c>
      <c r="C98" s="7">
        <v>46104</v>
      </c>
      <c r="D98" s="1" t="s">
        <v>27</v>
      </c>
      <c r="E98" s="5" t="s">
        <v>23</v>
      </c>
      <c r="F98" s="5" t="str">
        <f>VLOOKUP(Operaciones[[#This Row],[Código Producto]],Producto[#All],2,0)</f>
        <v>Cacao en grano</v>
      </c>
      <c r="G98" s="5" t="str">
        <f>VLOOKUP(Operaciones[[#This Row],[Código Producto]],Producto[#All],3,0)</f>
        <v>Cacao</v>
      </c>
      <c r="H98" s="1" t="s">
        <v>29</v>
      </c>
      <c r="I98" s="1" t="str">
        <f>VLOOKUP(Operaciones[[#This Row],[Pais Destino]],Mercado[#All],2,0)</f>
        <v>Norteamérica</v>
      </c>
      <c r="J98" s="1">
        <f>VLOOKUP(Operaciones[[#This Row],[Pais Destino]],Mercado[],3,0)</f>
        <v>0.08</v>
      </c>
      <c r="K98" s="1" t="str">
        <f>VLOOKUP(Operaciones[[#This Row],[Pais Destino]],Mercado[#All],4,0)</f>
        <v>Potencial</v>
      </c>
      <c r="L98" s="1">
        <v>1060</v>
      </c>
      <c r="M98" s="1">
        <v>7.1</v>
      </c>
      <c r="N98" s="1">
        <f>Operaciones[[#This Row],[Unidades]]*Operaciones[[#This Row],[Precio FOB]]</f>
        <v>7526</v>
      </c>
      <c r="O98" s="1">
        <v>4.8</v>
      </c>
      <c r="P98" s="23">
        <f>Operaciones[[#This Row],[Unidades]]*Operaciones[[#This Row],[Costo Unitario]]</f>
        <v>5088</v>
      </c>
      <c r="Q98" s="9" t="s">
        <v>16</v>
      </c>
      <c r="R98" s="1">
        <f>Operaciones[[#This Row],[Valor FOB]]-Operaciones[[#This Row],[Costo total]]</f>
        <v>2438</v>
      </c>
      <c r="S98" s="26">
        <f>Operaciones[[#This Row],[Utilidad ]]/Operaciones[[#This Row],[Valor FOB]]</f>
        <v>0.323943661971831</v>
      </c>
    </row>
    <row r="99" spans="2:19" x14ac:dyDescent="0.3">
      <c r="B99" s="8" t="s">
        <v>145</v>
      </c>
      <c r="C99" s="7">
        <v>46114</v>
      </c>
      <c r="D99" s="1" t="s">
        <v>13</v>
      </c>
      <c r="E99" s="5" t="s">
        <v>9</v>
      </c>
      <c r="F99" s="5" t="str">
        <f>VLOOKUP(Operaciones[[#This Row],[Código Producto]],Producto[#All],2,0)</f>
        <v>Miel natural</v>
      </c>
      <c r="G99" s="5" t="str">
        <f>VLOOKUP(Operaciones[[#This Row],[Código Producto]],Producto[#All],3,0)</f>
        <v>Apícola</v>
      </c>
      <c r="H99" s="1" t="s">
        <v>15</v>
      </c>
      <c r="I99" s="1" t="str">
        <f>VLOOKUP(Operaciones[[#This Row],[Pais Destino]],Mercado[#All],2,0)</f>
        <v>Norteamérica</v>
      </c>
      <c r="J99" s="1">
        <f>VLOOKUP(Operaciones[[#This Row],[Pais Destino]],Mercado[],3,0)</f>
        <v>0.05</v>
      </c>
      <c r="K99" s="1" t="str">
        <f>VLOOKUP(Operaciones[[#This Row],[Pais Destino]],Mercado[#All],4,0)</f>
        <v>Estratégico</v>
      </c>
      <c r="L99" s="1">
        <v>1490</v>
      </c>
      <c r="M99" s="1">
        <v>4.8</v>
      </c>
      <c r="N99" s="1">
        <f>Operaciones[[#This Row],[Unidades]]*Operaciones[[#This Row],[Precio FOB]]</f>
        <v>7152</v>
      </c>
      <c r="O99" s="1">
        <v>3.2</v>
      </c>
      <c r="P99" s="23">
        <f>Operaciones[[#This Row],[Unidades]]*Operaciones[[#This Row],[Costo Unitario]]</f>
        <v>4768</v>
      </c>
      <c r="Q99" s="9" t="s">
        <v>25</v>
      </c>
      <c r="R99" s="1">
        <f>Operaciones[[#This Row],[Valor FOB]]-Operaciones[[#This Row],[Costo total]]</f>
        <v>2384</v>
      </c>
      <c r="S99" s="26">
        <f>Operaciones[[#This Row],[Utilidad ]]/Operaciones[[#This Row],[Valor FOB]]</f>
        <v>0.33333333333333331</v>
      </c>
    </row>
    <row r="100" spans="2:19" x14ac:dyDescent="0.3">
      <c r="B100" s="8" t="s">
        <v>146</v>
      </c>
      <c r="C100" s="7">
        <v>46123</v>
      </c>
      <c r="D100" s="1" t="s">
        <v>8</v>
      </c>
      <c r="E100" s="5" t="s">
        <v>14</v>
      </c>
      <c r="F100" s="5" t="str">
        <f>VLOOKUP(Operaciones[[#This Row],[Código Producto]],Producto[#All],2,0)</f>
        <v>Café especial</v>
      </c>
      <c r="G100" s="5" t="str">
        <f>VLOOKUP(Operaciones[[#This Row],[Código Producto]],Producto[#All],3,0)</f>
        <v>Café</v>
      </c>
      <c r="H100" s="1" t="s">
        <v>10</v>
      </c>
      <c r="I100" s="1" t="str">
        <f>VLOOKUP(Operaciones[[#This Row],[Pais Destino]],Mercado[#All],2,0)</f>
        <v>Centroamérica</v>
      </c>
      <c r="J100" s="1">
        <f>VLOOKUP(Operaciones[[#This Row],[Pais Destino]],Mercado[],3,0)</f>
        <v>0.03</v>
      </c>
      <c r="K100" s="1" t="str">
        <f>VLOOKUP(Operaciones[[#This Row],[Pais Destino]],Mercado[#All],4,0)</f>
        <v>Estratégico</v>
      </c>
      <c r="L100" s="1">
        <v>910</v>
      </c>
      <c r="M100" s="1">
        <v>6.5</v>
      </c>
      <c r="N100" s="1">
        <f>Operaciones[[#This Row],[Unidades]]*Operaciones[[#This Row],[Precio FOB]]</f>
        <v>5915</v>
      </c>
      <c r="O100" s="1">
        <v>4.0999999999999996</v>
      </c>
      <c r="P100" s="23">
        <f>Operaciones[[#This Row],[Unidades]]*Operaciones[[#This Row],[Costo Unitario]]</f>
        <v>3730.9999999999995</v>
      </c>
      <c r="Q100" s="9" t="s">
        <v>11</v>
      </c>
      <c r="R100" s="1">
        <f>Operaciones[[#This Row],[Valor FOB]]-Operaciones[[#This Row],[Costo total]]</f>
        <v>2184.0000000000005</v>
      </c>
      <c r="S100" s="26">
        <f>Operaciones[[#This Row],[Utilidad ]]/Operaciones[[#This Row],[Valor FOB]]</f>
        <v>0.36923076923076931</v>
      </c>
    </row>
    <row r="101" spans="2:19" x14ac:dyDescent="0.3">
      <c r="B101" s="8" t="s">
        <v>147</v>
      </c>
      <c r="C101" s="7">
        <v>46132</v>
      </c>
      <c r="D101" s="1" t="s">
        <v>18</v>
      </c>
      <c r="E101" s="5" t="s">
        <v>19</v>
      </c>
      <c r="F101" s="5" t="str">
        <f>VLOOKUP(Operaciones[[#This Row],[Código Producto]],Producto[#All],2,0)</f>
        <v>Maní procesado</v>
      </c>
      <c r="G101" s="5" t="str">
        <f>VLOOKUP(Operaciones[[#This Row],[Código Producto]],Producto[#All],3,0)</f>
        <v>Semillas</v>
      </c>
      <c r="H101" s="1" t="s">
        <v>20</v>
      </c>
      <c r="I101" s="1" t="str">
        <f>VLOOKUP(Operaciones[[#This Row],[Pais Destino]],Mercado[#All],2,0)</f>
        <v>Centroamérica</v>
      </c>
      <c r="J101" s="1">
        <f>VLOOKUP(Operaciones[[#This Row],[Pais Destino]],Mercado[],3,0)</f>
        <v>0.02</v>
      </c>
      <c r="K101" s="1" t="str">
        <f>VLOOKUP(Operaciones[[#This Row],[Pais Destino]],Mercado[#All],4,0)</f>
        <v>Estratégico</v>
      </c>
      <c r="L101" s="1">
        <v>740</v>
      </c>
      <c r="M101" s="1">
        <v>8.1999999999999993</v>
      </c>
      <c r="N101" s="1">
        <f>Operaciones[[#This Row],[Unidades]]*Operaciones[[#This Row],[Precio FOB]]</f>
        <v>6067.9999999999991</v>
      </c>
      <c r="O101" s="1">
        <v>5.9</v>
      </c>
      <c r="P101" s="23">
        <f>Operaciones[[#This Row],[Unidades]]*Operaciones[[#This Row],[Costo Unitario]]</f>
        <v>4366</v>
      </c>
      <c r="Q101" s="9" t="s">
        <v>16</v>
      </c>
      <c r="R101" s="1">
        <f>Operaciones[[#This Row],[Valor FOB]]-Operaciones[[#This Row],[Costo total]]</f>
        <v>1701.9999999999991</v>
      </c>
      <c r="S101" s="26">
        <f>Operaciones[[#This Row],[Utilidad ]]/Operaciones[[#This Row],[Valor FOB]]</f>
        <v>0.2804878048780487</v>
      </c>
    </row>
    <row r="102" spans="2:19" x14ac:dyDescent="0.3">
      <c r="B102" s="8" t="s">
        <v>148</v>
      </c>
      <c r="C102" s="7">
        <v>46141</v>
      </c>
      <c r="D102" s="1" t="s">
        <v>22</v>
      </c>
      <c r="E102" s="5" t="s">
        <v>28</v>
      </c>
      <c r="F102" s="5" t="str">
        <f>VLOOKUP(Operaciones[[#This Row],[Código Producto]],Producto[#All],2,0)</f>
        <v>Aceite de ajonjolí</v>
      </c>
      <c r="G102" s="5" t="str">
        <f>VLOOKUP(Operaciones[[#This Row],[Código Producto]],Producto[#All],3,0)</f>
        <v>Aceites</v>
      </c>
      <c r="H102" s="1" t="s">
        <v>24</v>
      </c>
      <c r="I102" s="1" t="str">
        <f>VLOOKUP(Operaciones[[#This Row],[Pais Destino]],Mercado[#All],2,0)</f>
        <v>Europa</v>
      </c>
      <c r="J102" s="1">
        <f>VLOOKUP(Operaciones[[#This Row],[Pais Destino]],Mercado[],3,0)</f>
        <v>0.1</v>
      </c>
      <c r="K102" s="1" t="str">
        <f>VLOOKUP(Operaciones[[#This Row],[Pais Destino]],Mercado[#All],4,0)</f>
        <v>Potencial</v>
      </c>
      <c r="L102" s="1">
        <v>630</v>
      </c>
      <c r="M102" s="1">
        <v>12.5</v>
      </c>
      <c r="N102" s="1">
        <f>Operaciones[[#This Row],[Unidades]]*Operaciones[[#This Row],[Precio FOB]]</f>
        <v>7875</v>
      </c>
      <c r="O102" s="1">
        <v>8.6999999999999993</v>
      </c>
      <c r="P102" s="23">
        <f>Operaciones[[#This Row],[Unidades]]*Operaciones[[#This Row],[Costo Unitario]]</f>
        <v>5481</v>
      </c>
      <c r="Q102" s="9" t="s">
        <v>11</v>
      </c>
      <c r="R102" s="1">
        <f>Operaciones[[#This Row],[Valor FOB]]-Operaciones[[#This Row],[Costo total]]</f>
        <v>2394</v>
      </c>
      <c r="S102" s="26">
        <f>Operaciones[[#This Row],[Utilidad ]]/Operaciones[[#This Row],[Valor FOB]]</f>
        <v>0.30399999999999999</v>
      </c>
    </row>
    <row r="103" spans="2:19" x14ac:dyDescent="0.3">
      <c r="B103" s="13" t="s">
        <v>149</v>
      </c>
      <c r="C103" s="14">
        <v>46150</v>
      </c>
      <c r="D103" s="15" t="s">
        <v>27</v>
      </c>
      <c r="E103" s="16" t="s">
        <v>14</v>
      </c>
      <c r="F103" s="16" t="str">
        <f>VLOOKUP(Operaciones[[#This Row],[Código Producto]],Producto[#All],2,0)</f>
        <v>Café especial</v>
      </c>
      <c r="G103" s="16" t="str">
        <f>VLOOKUP(Operaciones[[#This Row],[Código Producto]],Producto[#All],3,0)</f>
        <v>Café</v>
      </c>
      <c r="H103" s="15" t="s">
        <v>29</v>
      </c>
      <c r="I103" s="15" t="str">
        <f>VLOOKUP(Operaciones[[#This Row],[Pais Destino]],Mercado[#All],2,0)</f>
        <v>Norteamérica</v>
      </c>
      <c r="J103" s="15">
        <f>VLOOKUP(Operaciones[[#This Row],[Pais Destino]],Mercado[],3,0)</f>
        <v>0.08</v>
      </c>
      <c r="K103" s="15" t="str">
        <f>VLOOKUP(Operaciones[[#This Row],[Pais Destino]],Mercado[#All],4,0)</f>
        <v>Potencial</v>
      </c>
      <c r="L103" s="15">
        <v>1170</v>
      </c>
      <c r="M103" s="15">
        <v>6.5</v>
      </c>
      <c r="N103" s="15">
        <f>Operaciones[[#This Row],[Unidades]]*Operaciones[[#This Row],[Precio FOB]]</f>
        <v>7605</v>
      </c>
      <c r="O103" s="15">
        <v>4.0999999999999996</v>
      </c>
      <c r="P103" s="18">
        <f>Operaciones[[#This Row],[Unidades]]*Operaciones[[#This Row],[Costo Unitario]]</f>
        <v>4797</v>
      </c>
      <c r="Q103" s="17" t="s">
        <v>16</v>
      </c>
      <c r="R103" s="15">
        <f>Operaciones[[#This Row],[Valor FOB]]-Operaciones[[#This Row],[Costo total]]</f>
        <v>2808</v>
      </c>
      <c r="S103" s="26">
        <f>Operaciones[[#This Row],[Utilidad ]]/Operaciones[[#This Row],[Valor FOB]]</f>
        <v>0.36923076923076925</v>
      </c>
    </row>
    <row r="104" spans="2:19" x14ac:dyDescent="0.3">
      <c r="Q104" s="3"/>
      <c r="S104" s="26"/>
    </row>
    <row r="105" spans="2:19" x14ac:dyDescent="0.3">
      <c r="Q105" s="3"/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CA22-8CA1-4505-AFA8-EDB5134406F1}">
  <dimension ref="C2:F8"/>
  <sheetViews>
    <sheetView workbookViewId="0">
      <selection activeCell="E12" sqref="E12"/>
    </sheetView>
  </sheetViews>
  <sheetFormatPr baseColWidth="10" defaultRowHeight="14.4" x14ac:dyDescent="0.3"/>
  <cols>
    <col min="3" max="3" width="9.88671875" customWidth="1"/>
    <col min="4" max="4" width="16.21875" customWidth="1"/>
    <col min="5" max="5" width="10.88671875" customWidth="1"/>
    <col min="6" max="6" width="18.44140625" customWidth="1"/>
  </cols>
  <sheetData>
    <row r="2" spans="3:6" ht="21.6" customHeight="1" x14ac:dyDescent="0.3">
      <c r="C2" s="4" t="s">
        <v>153</v>
      </c>
    </row>
    <row r="3" spans="3:6" x14ac:dyDescent="0.3">
      <c r="C3" s="10" t="s">
        <v>33</v>
      </c>
      <c r="D3" s="11" t="s">
        <v>34</v>
      </c>
      <c r="E3" s="11" t="s">
        <v>35</v>
      </c>
      <c r="F3" s="12" t="s">
        <v>151</v>
      </c>
    </row>
    <row r="4" spans="3:6" x14ac:dyDescent="0.3">
      <c r="C4" s="19" t="s">
        <v>14</v>
      </c>
      <c r="D4" s="1" t="s">
        <v>36</v>
      </c>
      <c r="E4" s="1" t="s">
        <v>37</v>
      </c>
      <c r="F4" s="20" t="s">
        <v>38</v>
      </c>
    </row>
    <row r="5" spans="3:6" x14ac:dyDescent="0.3">
      <c r="C5" s="19" t="s">
        <v>23</v>
      </c>
      <c r="D5" s="1" t="s">
        <v>39</v>
      </c>
      <c r="E5" s="1" t="s">
        <v>40</v>
      </c>
      <c r="F5" s="20" t="s">
        <v>38</v>
      </c>
    </row>
    <row r="6" spans="3:6" x14ac:dyDescent="0.3">
      <c r="C6" s="19" t="s">
        <v>9</v>
      </c>
      <c r="D6" s="1" t="s">
        <v>41</v>
      </c>
      <c r="E6" s="1" t="s">
        <v>42</v>
      </c>
      <c r="F6" s="20" t="s">
        <v>38</v>
      </c>
    </row>
    <row r="7" spans="3:6" x14ac:dyDescent="0.3">
      <c r="C7" s="19" t="s">
        <v>19</v>
      </c>
      <c r="D7" s="1" t="s">
        <v>43</v>
      </c>
      <c r="E7" s="1" t="s">
        <v>44</v>
      </c>
      <c r="F7" s="20" t="s">
        <v>38</v>
      </c>
    </row>
    <row r="8" spans="3:6" x14ac:dyDescent="0.3">
      <c r="C8" s="21" t="s">
        <v>28</v>
      </c>
      <c r="D8" s="15" t="s">
        <v>45</v>
      </c>
      <c r="E8" s="15" t="s">
        <v>46</v>
      </c>
      <c r="F8" s="22" t="s">
        <v>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AC060-8092-4881-9A24-B90AA1726740}">
  <dimension ref="C2:F9"/>
  <sheetViews>
    <sheetView workbookViewId="0">
      <selection activeCell="C3" sqref="C3:F9"/>
    </sheetView>
  </sheetViews>
  <sheetFormatPr baseColWidth="10" defaultRowHeight="14.4" x14ac:dyDescent="0.3"/>
  <cols>
    <col min="4" max="4" width="14.44140625" customWidth="1"/>
    <col min="6" max="6" width="13.21875" customWidth="1"/>
    <col min="12" max="12" width="10" customWidth="1"/>
    <col min="13" max="13" width="23.44140625" customWidth="1"/>
    <col min="14" max="14" width="12.109375" customWidth="1"/>
    <col min="16" max="16" width="31.44140625" customWidth="1"/>
    <col min="17" max="18" width="8.88671875" customWidth="1"/>
    <col min="19" max="19" width="11.109375" customWidth="1"/>
    <col min="20" max="20" width="11.44140625" customWidth="1"/>
    <col min="22" max="22" width="32.5546875" customWidth="1"/>
    <col min="23" max="23" width="10.88671875" customWidth="1"/>
    <col min="24" max="24" width="14.44140625" customWidth="1"/>
  </cols>
  <sheetData>
    <row r="2" spans="3:6" ht="16.8" customHeight="1" x14ac:dyDescent="0.3">
      <c r="C2" s="4" t="s">
        <v>152</v>
      </c>
    </row>
    <row r="3" spans="3:6" x14ac:dyDescent="0.3">
      <c r="C3" s="10" t="s">
        <v>48</v>
      </c>
      <c r="D3" s="11" t="s">
        <v>49</v>
      </c>
      <c r="E3" s="11" t="s">
        <v>50</v>
      </c>
      <c r="F3" s="12" t="s">
        <v>51</v>
      </c>
    </row>
    <row r="4" spans="3:6" x14ac:dyDescent="0.3">
      <c r="C4" s="8" t="s">
        <v>15</v>
      </c>
      <c r="D4" s="1" t="s">
        <v>52</v>
      </c>
      <c r="E4" s="6">
        <v>0.05</v>
      </c>
      <c r="F4" s="23" t="s">
        <v>53</v>
      </c>
    </row>
    <row r="5" spans="3:6" x14ac:dyDescent="0.3">
      <c r="C5" s="8" t="s">
        <v>29</v>
      </c>
      <c r="D5" s="1" t="s">
        <v>52</v>
      </c>
      <c r="E5" s="6">
        <v>0.08</v>
      </c>
      <c r="F5" s="23" t="s">
        <v>54</v>
      </c>
    </row>
    <row r="6" spans="3:6" x14ac:dyDescent="0.3">
      <c r="C6" s="8" t="s">
        <v>10</v>
      </c>
      <c r="D6" s="1" t="s">
        <v>55</v>
      </c>
      <c r="E6" s="6">
        <v>0.03</v>
      </c>
      <c r="F6" s="23" t="s">
        <v>53</v>
      </c>
    </row>
    <row r="7" spans="3:6" x14ac:dyDescent="0.3">
      <c r="C7" s="8" t="s">
        <v>20</v>
      </c>
      <c r="D7" s="1" t="s">
        <v>55</v>
      </c>
      <c r="E7" s="6">
        <v>0.02</v>
      </c>
      <c r="F7" s="23" t="s">
        <v>53</v>
      </c>
    </row>
    <row r="8" spans="3:6" x14ac:dyDescent="0.3">
      <c r="C8" s="8" t="s">
        <v>56</v>
      </c>
      <c r="D8" s="1" t="s">
        <v>55</v>
      </c>
      <c r="E8" s="6">
        <v>0.02</v>
      </c>
      <c r="F8" s="23" t="s">
        <v>54</v>
      </c>
    </row>
    <row r="9" spans="3:6" x14ac:dyDescent="0.3">
      <c r="C9" s="13" t="s">
        <v>24</v>
      </c>
      <c r="D9" s="15" t="s">
        <v>57</v>
      </c>
      <c r="E9" s="24">
        <v>0.1</v>
      </c>
      <c r="F9" s="18" t="s">
        <v>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1. Operaciones</vt:lpstr>
      <vt:lpstr>2. Productos</vt:lpstr>
      <vt:lpstr>3. Mercados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Cèsar Marìn</dc:creator>
  <cp:lastModifiedBy>Halima Martinez Avila</cp:lastModifiedBy>
  <dcterms:created xsi:type="dcterms:W3CDTF">2026-08-30T17:25:07Z</dcterms:created>
  <dcterms:modified xsi:type="dcterms:W3CDTF">2026-09-03T15:31:17Z</dcterms:modified>
</cp:coreProperties>
</file>